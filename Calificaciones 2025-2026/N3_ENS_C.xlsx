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lificaciones" sheetId="3" r:id="rId1"/>
    <sheet name="Libro 1" sheetId="4" r:id="rId2"/>
    <sheet name="Tareas" sheetId="1" r:id="rId3"/>
    <sheet name="Incidencia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<sst xmlns="http://schemas.openxmlformats.org/spreadsheetml/2006/main" count="135" uniqueCount="80">
  <si>
    <t>N3PRIMARIA 3°A</t>
  </si>
  <si>
    <t>Ética, Naturaleza y Sociedades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</si>
  <si>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</si>
  <si>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</si>
  <si>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</si>
  <si>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</si>
  <si>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</si>
  <si>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</si>
  <si>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</si>
  <si>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</si>
  <si>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</si>
  <si>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</si>
  <si>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Libro</t>
  </si>
  <si>
    <t xml:space="preserve">cuaderno </t>
  </si>
  <si>
    <t>Porcentaje</t>
  </si>
  <si>
    <t>No.</t>
  </si>
  <si>
    <t>Matrícula</t>
  </si>
  <si>
    <t>Nombre del Alumno</t>
  </si>
  <si>
    <t>Gonzalez Parra Wolfrang Alejandro</t>
  </si>
  <si>
    <t>Matute Castillo Andres David</t>
  </si>
  <si>
    <t>No entregó cuaderno.No tiene libro</t>
  </si>
  <si>
    <t>Meixner Ponce Christopher Santiago</t>
  </si>
  <si>
    <t>No entregó cuaderno.</t>
  </si>
  <si>
    <t>Mendoza Gaspar Carlos</t>
  </si>
  <si>
    <t>Moctexuma Ocegueda Ambar Paulina</t>
  </si>
  <si>
    <t>Rios Alvarado Julia Romina</t>
  </si>
  <si>
    <t>Sanchez Pedraza Amaia Estefania</t>
  </si>
  <si>
    <t>No tiene libro</t>
  </si>
  <si>
    <t>Soto Lobo Danna Sofia</t>
  </si>
  <si>
    <t>Soto Lobo Fernando</t>
  </si>
  <si>
    <t>Velazquez Jasso Daniel</t>
  </si>
  <si>
    <t>TOTAL</t>
  </si>
  <si>
    <t>N3 Primaria 2°A</t>
  </si>
  <si>
    <t>Ética, naturaleza y sociedades Libro 1</t>
  </si>
  <si>
    <t>Martes 9/9/2025                      La Polinización</t>
  </si>
  <si>
    <t>Miércoles 10/9/2025 Explorando mi Comunidad</t>
  </si>
  <si>
    <t>Jueves 11/9/2025 Explorando mi Comunidad</t>
  </si>
  <si>
    <t>Martes 16/9/2025</t>
  </si>
  <si>
    <t>Miércoles 17/9/2025 Formo parte del ecosistema</t>
  </si>
  <si>
    <t>Jueves 18/9/2025         Formo parte de mi ecosistema</t>
  </si>
  <si>
    <t>Martes 23/9/2025              Mi comunidad tiene cultura</t>
  </si>
  <si>
    <t>Miércoles 24/9/2025 Diversidad cultural</t>
  </si>
  <si>
    <t>Jueves 25/9/2025 Evaluación</t>
  </si>
  <si>
    <t>Miércoles 15/10/2025 ¿Cómo fue mi localidad?</t>
  </si>
  <si>
    <t>Jueves 16/10/2025               ¿Cómo fue mi localidad?</t>
  </si>
  <si>
    <t>Martes 21/10/2025 Cambios en mi localidad</t>
  </si>
  <si>
    <t>Miércoles 22/10/2025 Tengo necesidades y derechos</t>
  </si>
  <si>
    <t>Jueves 23/10/2025         Tengo necesidades y derechos</t>
  </si>
  <si>
    <t>Martes 4/11/2025                       Mis necesidades y derechos</t>
  </si>
  <si>
    <t>Miércoles 5/11/2025         Mis necesidades y derechos</t>
  </si>
  <si>
    <r>
      <rPr>
        <b/>
        <sz val="11"/>
        <color rgb="FFFF0000"/>
        <rFont val="Aptos Narrow"/>
        <charset val="134"/>
        <scheme val="minor"/>
      </rPr>
      <t>Lunes 10/11/2025</t>
    </r>
    <r>
      <rPr>
        <b/>
        <sz val="11"/>
        <color theme="1"/>
        <rFont val="Aptos Narrow"/>
        <charset val="134"/>
        <scheme val="minor"/>
      </rPr>
      <t xml:space="preserve"> Evaluación</t>
    </r>
  </si>
  <si>
    <t>C1</t>
  </si>
  <si>
    <t>C2</t>
  </si>
  <si>
    <t>E</t>
  </si>
  <si>
    <t>C3</t>
  </si>
  <si>
    <t>Páginas</t>
  </si>
  <si>
    <t>N3 PRIMARIA 3°A</t>
  </si>
  <si>
    <t>Tarea</t>
  </si>
  <si>
    <t xml:space="preserve">Qué es Zoología y botánica </t>
  </si>
  <si>
    <t xml:space="preserve">10 animales carnívoros y herbívoros </t>
  </si>
  <si>
    <t>Dibujo estados del agua</t>
  </si>
  <si>
    <t xml:space="preserve">Dibujar proceso de polinización </t>
  </si>
  <si>
    <t xml:space="preserve">Maqueta con animales que te agraden </t>
  </si>
  <si>
    <t>¿Quétipos de plantas y anaimales existen?</t>
  </si>
  <si>
    <t>Elementos bióticos y abióticos</t>
  </si>
  <si>
    <t>Sitios más importantes de Guadalajara</t>
  </si>
  <si>
    <t xml:space="preserve">12 Regiones del Estado de Jalisco. </t>
  </si>
  <si>
    <t xml:space="preserve">Pueblos Mágicos de Jalisco </t>
  </si>
  <si>
    <t xml:space="preserve">Fuentes de agua de México </t>
  </si>
  <si>
    <t xml:space="preserve">Ejemplos de animales en extinsión </t>
  </si>
  <si>
    <t xml:space="preserve">Imagen y frases sobre los purepechas </t>
  </si>
  <si>
    <t xml:space="preserve">Proyecto Visita al Museo CPJ </t>
  </si>
  <si>
    <t xml:space="preserve">Entrevista cómo era mi localidad </t>
  </si>
  <si>
    <t xml:space="preserve">Recortes de necesidades </t>
  </si>
  <si>
    <t>Escribe tres derechos de los niños</t>
  </si>
  <si>
    <t xml:space="preserve">Temario </t>
  </si>
  <si>
    <t>N8 SECUNDARIA 2°A</t>
  </si>
  <si>
    <t xml:space="preserve">ÉTICA </t>
  </si>
  <si>
    <t xml:space="preserve">Revisión del Libro Páginas que debe. </t>
  </si>
  <si>
    <t xml:space="preserve">Revisión del Cuaderno Lecciones no apuntadas.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</si>
</sst>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8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b/>
      <sz val="11"/>
      <name val="Aptos Narrow"/>
      <charset val="134"/>
      <scheme val="minor"/>
    </font>
    <font>
      <sz val="1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FF0000"/>
      <name val="Aptos Narrow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vertical="center" textRotation="90" wrapText="1"/>
    </xf>
    <xf numFmtId="178" fontId="0" fillId="0" borderId="1" xfId="0" applyNumberFormat="1" applyBorder="1"/>
    <xf numFmtId="0" fontId="2" fillId="0" borderId="1" xfId="0" applyFont="1" applyBorder="1" applyAlignment="1">
      <alignment textRotation="90" wrapText="1"/>
    </xf>
    <xf numFmtId="0" fontId="3" fillId="0" borderId="1" xfId="0" applyFont="1" applyBorder="1" applyAlignment="1">
      <alignment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vertical="top" textRotation="90" wrapText="1"/>
    </xf>
    <xf numFmtId="0" fontId="4" fillId="0" borderId="1" xfId="0" applyFont="1" applyBorder="1" applyAlignment="1">
      <alignment vertical="center" textRotation="90" wrapText="1"/>
    </xf>
    <xf numFmtId="178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6" borderId="1" xfId="0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textRotation="90" wrapText="1"/>
    </xf>
    <xf numFmtId="0" fontId="5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78" fontId="1" fillId="8" borderId="1" xfId="0" applyNumberFormat="1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6"/>
  <sheetViews>
    <sheetView tabSelected="1" topLeftCell="C1" workbookViewId="0">
      <selection activeCell="O23" sqref="O23"/>
    </sheetView>
  </sheetViews>
  <sheetFormatPr defaultColWidth="9.14166666666667" defaultRowHeight="13.8"/>
  <cols>
    <col min="4" max="4" width="34.8583333333333" customWidth="1"/>
    <col min="5" max="6" width="9.28333333333333" customWidth="1"/>
    <col min="7" max="7" width="17.5666666666667" customWidth="1"/>
    <col min="8" max="8" width="10" customWidth="1"/>
    <col min="9" max="9" width="6.85833333333333" customWidth="1"/>
    <col min="10" max="10" width="14.1416666666667" customWidth="1"/>
    <col min="11" max="11" width="8.56666666666667" customWidth="1"/>
    <col min="12" max="12" width="9.56666666666667" customWidth="1"/>
    <col min="13" max="13" width="29.8583333333333" customWidth="1"/>
  </cols>
  <sheetData>
    <row r="2" spans="2:13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</row>
    <row r="3" spans="2:15">
      <c r="B3" s="11"/>
      <c r="C3" s="11"/>
      <c r="D3" s="12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t="s">
        <v>12</v>
      </c>
      <c r="O3" t="s">
        <v>13</v>
      </c>
    </row>
    <row r="4" spans="2:13">
      <c r="B4" s="9"/>
      <c r="C4" s="9"/>
      <c r="D4" s="9" t="s">
        <v>14</v>
      </c>
      <c r="E4" s="47">
        <v>0.09</v>
      </c>
      <c r="F4" s="47">
        <v>0.09</v>
      </c>
      <c r="G4" s="47">
        <v>0.25</v>
      </c>
      <c r="H4" s="47">
        <v>0.07</v>
      </c>
      <c r="I4" s="47">
        <v>0.2</v>
      </c>
      <c r="J4" s="47">
        <v>0.2</v>
      </c>
      <c r="K4" s="47">
        <v>0.1</v>
      </c>
      <c r="L4" s="11"/>
      <c r="M4" s="9"/>
    </row>
    <row r="5" spans="2:13">
      <c r="B5" s="7" t="s">
        <v>15</v>
      </c>
      <c r="C5" s="7" t="s">
        <v>16</v>
      </c>
      <c r="D5" s="8" t="s">
        <v>17</v>
      </c>
      <c r="E5" s="9"/>
      <c r="F5" s="9"/>
      <c r="G5" s="9"/>
      <c r="H5" s="9"/>
      <c r="I5" s="9"/>
      <c r="J5" s="9"/>
      <c r="K5" s="9"/>
      <c r="L5" s="11"/>
      <c r="M5" s="9"/>
    </row>
    <row r="6" spans="2:15">
      <c r="B6" s="10">
        <v>1</v>
      </c>
      <c r="C6" s="10">
        <v>979</v>
      </c>
      <c r="D6" s="9" t="s">
        <v>18</v>
      </c>
      <c r="E6" s="48">
        <v>6</v>
      </c>
      <c r="F6" s="48">
        <v>8</v>
      </c>
      <c r="G6" s="48">
        <v>0</v>
      </c>
      <c r="H6" s="48">
        <v>7</v>
      </c>
      <c r="I6" s="48">
        <v>5</v>
      </c>
      <c r="J6" s="48">
        <v>7.6</v>
      </c>
      <c r="K6" s="48">
        <v>10</v>
      </c>
      <c r="L6" s="21">
        <f>E6*0.09+F6*0.09+G8*0.25+H6*0.07+I6*0.2+J6*0.2+K6*0.1</f>
        <v>5.27</v>
      </c>
      <c r="M6" s="9"/>
      <c r="N6">
        <v>6.2</v>
      </c>
      <c r="O6">
        <v>9</v>
      </c>
    </row>
    <row r="7" spans="2:13">
      <c r="B7" s="10">
        <v>2</v>
      </c>
      <c r="C7" s="10">
        <v>1133</v>
      </c>
      <c r="D7" s="9" t="s">
        <v>19</v>
      </c>
      <c r="E7" s="48">
        <v>9</v>
      </c>
      <c r="F7" s="48">
        <v>7</v>
      </c>
      <c r="G7" s="48">
        <v>0</v>
      </c>
      <c r="H7" s="48">
        <v>8</v>
      </c>
      <c r="I7" s="48">
        <f>Tareas!W6</f>
        <v>0</v>
      </c>
      <c r="J7" s="48">
        <f>'Libro 1'!AF8*0.5</f>
        <v>0</v>
      </c>
      <c r="K7" s="48">
        <v>0</v>
      </c>
      <c r="L7" s="21">
        <f t="shared" ref="L7:L15" si="0">E7*0.09+F7*0.09+G7*0.25+H7*0.07+I7*0.2+J7*0.2+K7*0.1</f>
        <v>2</v>
      </c>
      <c r="M7" s="9" t="s">
        <v>20</v>
      </c>
    </row>
    <row r="8" spans="2:13">
      <c r="B8" s="10">
        <v>3</v>
      </c>
      <c r="C8" s="10">
        <v>1235</v>
      </c>
      <c r="D8" s="9" t="s">
        <v>21</v>
      </c>
      <c r="E8" s="48">
        <v>4</v>
      </c>
      <c r="F8" s="48">
        <v>2</v>
      </c>
      <c r="G8" s="48">
        <v>0</v>
      </c>
      <c r="H8" s="48">
        <v>7</v>
      </c>
      <c r="I8" s="48">
        <f>Tareas!W7</f>
        <v>0</v>
      </c>
      <c r="J8" s="48">
        <f>'Libro 1'!AF9*0.5</f>
        <v>0</v>
      </c>
      <c r="K8" s="48">
        <v>0</v>
      </c>
      <c r="L8" s="21">
        <f t="shared" si="0"/>
        <v>1.03</v>
      </c>
      <c r="M8" s="9" t="s">
        <v>22</v>
      </c>
    </row>
    <row r="9" spans="2:15">
      <c r="B9" s="10">
        <v>4</v>
      </c>
      <c r="C9" s="10">
        <v>986</v>
      </c>
      <c r="D9" s="9" t="s">
        <v>23</v>
      </c>
      <c r="E9" s="48">
        <v>9</v>
      </c>
      <c r="F9" s="48">
        <v>3</v>
      </c>
      <c r="G9" s="48">
        <v>0</v>
      </c>
      <c r="H9" s="48">
        <v>8</v>
      </c>
      <c r="I9" s="48">
        <v>10</v>
      </c>
      <c r="J9" s="48">
        <v>10</v>
      </c>
      <c r="K9" s="48">
        <v>0</v>
      </c>
      <c r="L9" s="21">
        <f t="shared" si="0"/>
        <v>5.64</v>
      </c>
      <c r="M9" s="9"/>
      <c r="N9">
        <v>10</v>
      </c>
      <c r="O9">
        <v>10</v>
      </c>
    </row>
    <row r="10" spans="2:15">
      <c r="B10" s="10">
        <v>5</v>
      </c>
      <c r="C10" s="10">
        <v>1105</v>
      </c>
      <c r="D10" s="9" t="s">
        <v>24</v>
      </c>
      <c r="E10" s="48">
        <v>9</v>
      </c>
      <c r="F10" s="48">
        <v>7</v>
      </c>
      <c r="G10" s="48">
        <v>0</v>
      </c>
      <c r="H10" s="48">
        <v>7</v>
      </c>
      <c r="I10" s="48">
        <v>6</v>
      </c>
      <c r="J10" s="48">
        <v>7.7</v>
      </c>
      <c r="K10" s="48">
        <v>10</v>
      </c>
      <c r="L10" s="21">
        <f t="shared" si="0"/>
        <v>5.67</v>
      </c>
      <c r="M10" s="9"/>
      <c r="N10">
        <v>7.7</v>
      </c>
      <c r="O10">
        <v>10</v>
      </c>
    </row>
    <row r="11" spans="2:14">
      <c r="B11" s="10">
        <v>6</v>
      </c>
      <c r="C11" s="10">
        <v>944</v>
      </c>
      <c r="D11" s="9" t="s">
        <v>25</v>
      </c>
      <c r="E11" s="48">
        <v>10</v>
      </c>
      <c r="F11" s="48">
        <v>9</v>
      </c>
      <c r="G11" s="48">
        <v>0</v>
      </c>
      <c r="H11" s="48">
        <v>7</v>
      </c>
      <c r="I11" s="48">
        <v>8</v>
      </c>
      <c r="J11" s="48">
        <v>7.5</v>
      </c>
      <c r="K11" s="48">
        <v>10</v>
      </c>
      <c r="L11" s="21">
        <f t="shared" si="0"/>
        <v>6.3</v>
      </c>
      <c r="M11" s="9"/>
      <c r="N11">
        <v>7</v>
      </c>
    </row>
    <row r="12" spans="2:13">
      <c r="B12" s="10">
        <v>7</v>
      </c>
      <c r="C12" s="10">
        <v>1021</v>
      </c>
      <c r="D12" s="9" t="s">
        <v>26</v>
      </c>
      <c r="E12" s="48">
        <v>5</v>
      </c>
      <c r="F12" s="48">
        <v>9</v>
      </c>
      <c r="G12" s="48">
        <v>9.5</v>
      </c>
      <c r="H12" s="48">
        <v>8</v>
      </c>
      <c r="I12" s="48">
        <v>10</v>
      </c>
      <c r="J12" s="48">
        <v>5</v>
      </c>
      <c r="K12" s="48">
        <v>10</v>
      </c>
      <c r="L12" s="21">
        <f t="shared" si="0"/>
        <v>8.195</v>
      </c>
      <c r="M12" s="9" t="s">
        <v>27</v>
      </c>
    </row>
    <row r="13" spans="2:15">
      <c r="B13" s="10">
        <v>8</v>
      </c>
      <c r="C13" s="10">
        <v>1219</v>
      </c>
      <c r="D13" s="9" t="s">
        <v>28</v>
      </c>
      <c r="E13" s="48">
        <v>4</v>
      </c>
      <c r="F13" s="48">
        <v>6</v>
      </c>
      <c r="G13" s="48">
        <v>0</v>
      </c>
      <c r="H13" s="48">
        <v>8</v>
      </c>
      <c r="I13" s="48">
        <v>10</v>
      </c>
      <c r="J13" s="48">
        <v>8.8</v>
      </c>
      <c r="K13" s="48">
        <v>10</v>
      </c>
      <c r="L13" s="21">
        <f t="shared" si="0"/>
        <v>6.22</v>
      </c>
      <c r="M13" s="9"/>
      <c r="N13">
        <v>7.7</v>
      </c>
      <c r="O13">
        <v>10</v>
      </c>
    </row>
    <row r="14" spans="2:15">
      <c r="B14" s="10">
        <v>9</v>
      </c>
      <c r="C14" s="10">
        <v>1220</v>
      </c>
      <c r="D14" s="9" t="s">
        <v>29</v>
      </c>
      <c r="E14" s="48">
        <v>9</v>
      </c>
      <c r="F14" s="48">
        <v>9</v>
      </c>
      <c r="G14" s="48">
        <v>0</v>
      </c>
      <c r="H14" s="48">
        <v>8</v>
      </c>
      <c r="I14" s="48">
        <v>10</v>
      </c>
      <c r="J14" s="48">
        <v>7.6</v>
      </c>
      <c r="K14" s="48">
        <v>10</v>
      </c>
      <c r="L14" s="21">
        <f t="shared" si="0"/>
        <v>6.7</v>
      </c>
      <c r="M14" s="9"/>
      <c r="N14">
        <v>6.2</v>
      </c>
      <c r="O14">
        <v>9</v>
      </c>
    </row>
    <row r="15" spans="2:15">
      <c r="B15" s="10">
        <v>10</v>
      </c>
      <c r="C15" s="10">
        <v>1278</v>
      </c>
      <c r="D15" s="9" t="s">
        <v>30</v>
      </c>
      <c r="E15" s="48">
        <v>6</v>
      </c>
      <c r="F15" s="48">
        <v>7</v>
      </c>
      <c r="G15" s="48">
        <v>0</v>
      </c>
      <c r="H15" s="48">
        <v>10</v>
      </c>
      <c r="I15" s="48">
        <v>10</v>
      </c>
      <c r="J15" s="48">
        <v>10</v>
      </c>
      <c r="K15" s="48">
        <v>10</v>
      </c>
      <c r="L15" s="21">
        <f t="shared" si="0"/>
        <v>6.87</v>
      </c>
      <c r="M15" s="9"/>
      <c r="N15">
        <v>10</v>
      </c>
      <c r="O15">
        <v>10</v>
      </c>
    </row>
    <row r="16" spans="2:13">
      <c r="B16" s="49" t="s">
        <v>31</v>
      </c>
      <c r="C16" s="49"/>
      <c r="D16" s="49"/>
      <c r="E16" s="50">
        <f>AVERAGE(E6:E15)</f>
        <v>7.1</v>
      </c>
      <c r="F16" s="50">
        <f>AVERAGE(F6:F15)</f>
        <v>6.7</v>
      </c>
      <c r="G16" s="50">
        <f>AVERAGE(G7:G15)</f>
        <v>1.05555555555556</v>
      </c>
      <c r="H16" s="50">
        <f t="shared" ref="H16:L16" si="1">AVERAGE(H6:H15)</f>
        <v>7.8</v>
      </c>
      <c r="I16" s="50">
        <f t="shared" si="1"/>
        <v>6.9</v>
      </c>
      <c r="J16" s="50">
        <f t="shared" si="1"/>
        <v>6.42</v>
      </c>
      <c r="K16" s="50">
        <f t="shared" si="1"/>
        <v>7</v>
      </c>
      <c r="L16" s="50">
        <f t="shared" si="1"/>
        <v>5.3895</v>
      </c>
      <c r="M16" s="49"/>
    </row>
  </sheetData>
  <mergeCells count="3">
    <mergeCell ref="B2:D2"/>
    <mergeCell ref="E2:M2"/>
    <mergeCell ref="B16:D16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F16"/>
  <sheetViews>
    <sheetView workbookViewId="0">
      <selection activeCell="E16" sqref="E16"/>
    </sheetView>
  </sheetViews>
  <sheetFormatPr defaultColWidth="9.14166666666667" defaultRowHeight="13.8"/>
  <cols>
    <col min="4" max="4" width="35.425" customWidth="1"/>
    <col min="5" max="12" width="4.56666666666667" customWidth="1"/>
    <col min="13" max="13" width="3.70833333333333" customWidth="1"/>
    <col min="14" max="14" width="9.425" customWidth="1"/>
    <col min="15" max="21" width="4.56666666666667" customWidth="1"/>
    <col min="22" max="22" width="6.56666666666667" customWidth="1"/>
    <col min="23" max="23" width="7.70833333333333" customWidth="1"/>
    <col min="24" max="24" width="6.56666666666667" customWidth="1"/>
    <col min="25" max="26" width="4.56666666666667" customWidth="1"/>
    <col min="27" max="30" width="9.425" customWidth="1"/>
    <col min="31" max="31" width="6.56666666666667" customWidth="1"/>
  </cols>
  <sheetData>
    <row r="2" spans="2:32">
      <c r="B2" s="1" t="s">
        <v>32</v>
      </c>
      <c r="C2" s="1"/>
      <c r="D2" s="1"/>
      <c r="E2" s="1" t="s">
        <v>33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4.5" customHeight="1" spans="2:32">
      <c r="B3" s="11"/>
      <c r="C3" s="11"/>
      <c r="D3" s="22" t="s">
        <v>12</v>
      </c>
      <c r="E3" s="23" t="s">
        <v>34</v>
      </c>
      <c r="F3" s="24"/>
      <c r="G3" s="24"/>
      <c r="H3" s="25"/>
      <c r="I3" s="23" t="s">
        <v>35</v>
      </c>
      <c r="J3" s="25"/>
      <c r="K3" s="23" t="s">
        <v>36</v>
      </c>
      <c r="L3" s="25"/>
      <c r="M3" s="35" t="s">
        <v>37</v>
      </c>
      <c r="N3" s="36" t="s">
        <v>38</v>
      </c>
      <c r="O3" s="23" t="s">
        <v>39</v>
      </c>
      <c r="P3" s="24"/>
      <c r="Q3" s="25"/>
      <c r="R3" s="23" t="s">
        <v>40</v>
      </c>
      <c r="S3" s="25"/>
      <c r="T3" s="23" t="s">
        <v>41</v>
      </c>
      <c r="U3" s="25"/>
      <c r="V3" s="36" t="s">
        <v>42</v>
      </c>
      <c r="W3" s="36" t="s">
        <v>43</v>
      </c>
      <c r="X3" s="39" t="s">
        <v>44</v>
      </c>
      <c r="Y3" s="23" t="s">
        <v>45</v>
      </c>
      <c r="Z3" s="25"/>
      <c r="AA3" s="36" t="s">
        <v>46</v>
      </c>
      <c r="AB3" s="36" t="s">
        <v>47</v>
      </c>
      <c r="AC3" s="36" t="s">
        <v>48</v>
      </c>
      <c r="AD3" s="36" t="s">
        <v>49</v>
      </c>
      <c r="AE3" s="36" t="s">
        <v>50</v>
      </c>
      <c r="AF3" s="6" t="s">
        <v>10</v>
      </c>
    </row>
    <row r="4" ht="15.75" customHeight="1" spans="2:32">
      <c r="B4" s="11"/>
      <c r="C4" s="11"/>
      <c r="D4" s="22"/>
      <c r="E4" s="26" t="s">
        <v>51</v>
      </c>
      <c r="F4" s="27"/>
      <c r="G4" s="27"/>
      <c r="H4" s="28"/>
      <c r="I4" s="26" t="s">
        <v>51</v>
      </c>
      <c r="J4" s="27"/>
      <c r="K4" s="26" t="s">
        <v>51</v>
      </c>
      <c r="L4" s="27"/>
      <c r="M4" s="35"/>
      <c r="N4" s="26" t="s">
        <v>52</v>
      </c>
      <c r="O4" s="26" t="s">
        <v>52</v>
      </c>
      <c r="P4" s="27"/>
      <c r="Q4" s="28"/>
      <c r="R4" s="26" t="s">
        <v>52</v>
      </c>
      <c r="S4" s="28"/>
      <c r="T4" s="26" t="s">
        <v>52</v>
      </c>
      <c r="U4" s="28"/>
      <c r="V4" s="22" t="s">
        <v>53</v>
      </c>
      <c r="W4" s="22" t="s">
        <v>54</v>
      </c>
      <c r="X4" s="40" t="s">
        <v>54</v>
      </c>
      <c r="Y4" s="26" t="s">
        <v>54</v>
      </c>
      <c r="Z4" s="28"/>
      <c r="AA4" s="22" t="s">
        <v>54</v>
      </c>
      <c r="AB4" s="22" t="s">
        <v>54</v>
      </c>
      <c r="AC4" s="22" t="s">
        <v>54</v>
      </c>
      <c r="AD4" s="22" t="s">
        <v>54</v>
      </c>
      <c r="AE4" s="22" t="s">
        <v>53</v>
      </c>
      <c r="AF4" s="6"/>
    </row>
    <row r="5" spans="2:32">
      <c r="B5" s="9"/>
      <c r="C5" s="9"/>
      <c r="D5" s="29" t="s">
        <v>55</v>
      </c>
      <c r="E5" s="30">
        <v>50</v>
      </c>
      <c r="F5" s="30">
        <v>51</v>
      </c>
      <c r="G5" s="30">
        <v>52</v>
      </c>
      <c r="H5" s="30">
        <v>53</v>
      </c>
      <c r="I5" s="30">
        <v>54</v>
      </c>
      <c r="J5" s="30">
        <v>55</v>
      </c>
      <c r="K5" s="30">
        <v>56</v>
      </c>
      <c r="L5" s="30">
        <v>57</v>
      </c>
      <c r="M5" s="37"/>
      <c r="N5" s="30">
        <v>28</v>
      </c>
      <c r="O5" s="30">
        <v>29</v>
      </c>
      <c r="P5" s="30">
        <v>30</v>
      </c>
      <c r="Q5" s="30">
        <v>31</v>
      </c>
      <c r="R5" s="30">
        <v>32</v>
      </c>
      <c r="S5" s="30">
        <v>33</v>
      </c>
      <c r="T5" s="30">
        <v>34</v>
      </c>
      <c r="U5" s="30">
        <v>35</v>
      </c>
      <c r="V5" s="30">
        <v>42</v>
      </c>
      <c r="W5" s="30">
        <v>20</v>
      </c>
      <c r="X5" s="41">
        <v>21</v>
      </c>
      <c r="Y5" s="30">
        <v>22</v>
      </c>
      <c r="Z5" s="30">
        <v>23</v>
      </c>
      <c r="AA5" s="30">
        <v>24</v>
      </c>
      <c r="AB5" s="30">
        <v>25</v>
      </c>
      <c r="AC5" s="30">
        <v>26</v>
      </c>
      <c r="AD5" s="30">
        <v>27</v>
      </c>
      <c r="AE5" s="30">
        <v>40</v>
      </c>
      <c r="AF5" s="22"/>
    </row>
    <row r="6" spans="2:32">
      <c r="B6" s="7" t="s">
        <v>15</v>
      </c>
      <c r="C6" s="7" t="s">
        <v>16</v>
      </c>
      <c r="D6" s="8" t="s">
        <v>17</v>
      </c>
      <c r="E6" s="30"/>
      <c r="F6" s="30"/>
      <c r="G6" s="30"/>
      <c r="H6" s="30"/>
      <c r="I6" s="30"/>
      <c r="J6" s="30"/>
      <c r="K6" s="30"/>
      <c r="L6" s="30"/>
      <c r="M6" s="37"/>
      <c r="N6" s="30"/>
      <c r="O6" s="30"/>
      <c r="P6" s="30"/>
      <c r="Q6" s="30"/>
      <c r="R6" s="30"/>
      <c r="S6" s="30"/>
      <c r="T6" s="30"/>
      <c r="U6" s="30"/>
      <c r="V6" s="30"/>
      <c r="W6" s="30"/>
      <c r="X6" s="42"/>
      <c r="Y6" s="30"/>
      <c r="Z6" s="30"/>
      <c r="AA6" s="30"/>
      <c r="AB6" s="30"/>
      <c r="AC6" s="30"/>
      <c r="AD6" s="30"/>
      <c r="AE6" s="30"/>
      <c r="AF6" s="44"/>
    </row>
    <row r="7" spans="2:32">
      <c r="B7" s="10">
        <v>1</v>
      </c>
      <c r="C7" s="10">
        <v>979</v>
      </c>
      <c r="D7" s="9" t="s">
        <v>18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8"/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/>
      <c r="AF7" s="45">
        <f t="shared" ref="AF7:AF16" si="0">AVERAGE(E7:AD7)</f>
        <v>0</v>
      </c>
    </row>
    <row r="8" spans="2:32">
      <c r="B8" s="10">
        <v>2</v>
      </c>
      <c r="C8" s="10">
        <v>1133</v>
      </c>
      <c r="D8" s="9" t="s">
        <v>19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8"/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/>
      <c r="AF8" s="46">
        <f t="shared" si="0"/>
        <v>0</v>
      </c>
    </row>
    <row r="9" spans="2:32">
      <c r="B9" s="10">
        <v>3</v>
      </c>
      <c r="C9" s="10">
        <v>1235</v>
      </c>
      <c r="D9" s="9" t="s">
        <v>21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8"/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/>
      <c r="AF9" s="45">
        <f t="shared" si="0"/>
        <v>0</v>
      </c>
    </row>
    <row r="10" spans="2:32">
      <c r="B10" s="10">
        <v>4</v>
      </c>
      <c r="C10" s="10">
        <v>986</v>
      </c>
      <c r="D10" s="9" t="s">
        <v>23</v>
      </c>
      <c r="E10" s="33">
        <v>10</v>
      </c>
      <c r="F10" s="33">
        <v>10</v>
      </c>
      <c r="G10" s="31">
        <v>10</v>
      </c>
      <c r="H10" s="31">
        <v>10</v>
      </c>
      <c r="I10" s="31">
        <v>10</v>
      </c>
      <c r="J10" s="33">
        <v>10</v>
      </c>
      <c r="K10" s="31">
        <v>10</v>
      </c>
      <c r="L10" s="33">
        <v>7</v>
      </c>
      <c r="M10" s="38"/>
      <c r="N10" s="31">
        <v>10</v>
      </c>
      <c r="O10" s="31">
        <v>10</v>
      </c>
      <c r="P10" s="31">
        <v>9</v>
      </c>
      <c r="Q10" s="31">
        <v>8</v>
      </c>
      <c r="R10" s="31">
        <v>10</v>
      </c>
      <c r="S10" s="31">
        <v>10</v>
      </c>
      <c r="T10" s="31">
        <v>10</v>
      </c>
      <c r="U10" s="31">
        <v>10</v>
      </c>
      <c r="V10" s="31">
        <v>7</v>
      </c>
      <c r="W10" s="31">
        <v>10</v>
      </c>
      <c r="X10" s="43">
        <v>10</v>
      </c>
      <c r="Y10" s="31">
        <v>10</v>
      </c>
      <c r="Z10" s="31">
        <v>10</v>
      </c>
      <c r="AA10" s="33">
        <v>8</v>
      </c>
      <c r="AB10" s="31">
        <v>10</v>
      </c>
      <c r="AC10" s="31">
        <v>10</v>
      </c>
      <c r="AD10" s="31">
        <v>10</v>
      </c>
      <c r="AE10" s="31"/>
      <c r="AF10" s="45">
        <f t="shared" si="0"/>
        <v>9.56</v>
      </c>
    </row>
    <row r="11" spans="2:32">
      <c r="B11" s="10">
        <v>5</v>
      </c>
      <c r="C11" s="10">
        <v>1105</v>
      </c>
      <c r="D11" s="9" t="s">
        <v>24</v>
      </c>
      <c r="E11" s="34">
        <v>0</v>
      </c>
      <c r="F11" s="34">
        <v>0</v>
      </c>
      <c r="G11" s="34">
        <v>0</v>
      </c>
      <c r="H11" s="31">
        <v>10</v>
      </c>
      <c r="I11" s="31">
        <v>10</v>
      </c>
      <c r="J11" s="34">
        <v>0</v>
      </c>
      <c r="K11" s="31">
        <v>10</v>
      </c>
      <c r="L11" s="34">
        <v>0</v>
      </c>
      <c r="M11" s="38"/>
      <c r="N11" s="31">
        <v>10</v>
      </c>
      <c r="O11" s="31">
        <v>10</v>
      </c>
      <c r="P11" s="31">
        <v>10</v>
      </c>
      <c r="Q11" s="34">
        <v>0</v>
      </c>
      <c r="R11" s="31">
        <v>10</v>
      </c>
      <c r="S11" s="31">
        <v>10</v>
      </c>
      <c r="T11" s="31">
        <v>10</v>
      </c>
      <c r="U11" s="31">
        <v>10</v>
      </c>
      <c r="V11" s="31">
        <v>10</v>
      </c>
      <c r="W11" s="31">
        <v>10</v>
      </c>
      <c r="X11" s="34">
        <v>0</v>
      </c>
      <c r="Y11" s="31">
        <v>10</v>
      </c>
      <c r="Z11" s="31">
        <v>10</v>
      </c>
      <c r="AA11" s="31">
        <v>10</v>
      </c>
      <c r="AB11" s="31">
        <v>10</v>
      </c>
      <c r="AC11" s="34">
        <v>0</v>
      </c>
      <c r="AD11" s="31">
        <v>10</v>
      </c>
      <c r="AE11" s="31"/>
      <c r="AF11" s="45">
        <f t="shared" si="0"/>
        <v>6.8</v>
      </c>
    </row>
    <row r="12" spans="2:32">
      <c r="B12" s="10">
        <v>6</v>
      </c>
      <c r="C12" s="10">
        <v>944</v>
      </c>
      <c r="D12" s="9" t="s">
        <v>25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8"/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/>
      <c r="AF12" s="45">
        <f t="shared" si="0"/>
        <v>0</v>
      </c>
    </row>
    <row r="13" spans="2:32">
      <c r="B13" s="10">
        <v>7</v>
      </c>
      <c r="C13" s="10">
        <v>1021</v>
      </c>
      <c r="D13" s="9" t="s">
        <v>26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8"/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/>
      <c r="AF13" s="46">
        <f t="shared" si="0"/>
        <v>0</v>
      </c>
    </row>
    <row r="14" spans="2:32">
      <c r="B14" s="10">
        <v>8</v>
      </c>
      <c r="C14" s="10">
        <v>1219</v>
      </c>
      <c r="D14" s="9" t="s">
        <v>28</v>
      </c>
      <c r="E14" s="31">
        <v>10</v>
      </c>
      <c r="F14" s="31">
        <v>10</v>
      </c>
      <c r="G14" s="31">
        <v>10</v>
      </c>
      <c r="H14" s="34">
        <v>0</v>
      </c>
      <c r="I14" s="34">
        <v>0</v>
      </c>
      <c r="J14" s="34">
        <v>0</v>
      </c>
      <c r="K14" s="31">
        <v>10</v>
      </c>
      <c r="L14" s="31">
        <v>10</v>
      </c>
      <c r="M14" s="38"/>
      <c r="N14" s="34">
        <v>0</v>
      </c>
      <c r="O14" s="31">
        <v>10</v>
      </c>
      <c r="P14" s="31">
        <v>10</v>
      </c>
      <c r="Q14" s="31">
        <v>10</v>
      </c>
      <c r="R14" s="31">
        <v>10</v>
      </c>
      <c r="S14" s="31">
        <v>10</v>
      </c>
      <c r="T14" s="34">
        <v>0</v>
      </c>
      <c r="U14" s="31">
        <v>10</v>
      </c>
      <c r="V14" s="31">
        <v>10</v>
      </c>
      <c r="W14" s="31">
        <v>10</v>
      </c>
      <c r="X14" s="31">
        <v>10</v>
      </c>
      <c r="Y14" s="31">
        <v>10</v>
      </c>
      <c r="Z14" s="31">
        <v>10</v>
      </c>
      <c r="AA14" s="31">
        <v>10</v>
      </c>
      <c r="AB14" s="31">
        <v>10</v>
      </c>
      <c r="AC14" s="34">
        <v>0</v>
      </c>
      <c r="AD14" s="31">
        <v>10</v>
      </c>
      <c r="AE14" s="31"/>
      <c r="AF14" s="45">
        <f t="shared" si="0"/>
        <v>7.6</v>
      </c>
    </row>
    <row r="15" spans="2:32">
      <c r="B15" s="10">
        <v>9</v>
      </c>
      <c r="C15" s="10">
        <v>1220</v>
      </c>
      <c r="D15" s="9" t="s">
        <v>29</v>
      </c>
      <c r="E15" s="31">
        <v>10</v>
      </c>
      <c r="F15" s="31">
        <v>10</v>
      </c>
      <c r="G15" s="31">
        <v>10</v>
      </c>
      <c r="H15" s="34">
        <v>0</v>
      </c>
      <c r="I15" s="31">
        <v>10</v>
      </c>
      <c r="J15" s="34">
        <v>0</v>
      </c>
      <c r="K15" s="31">
        <v>10</v>
      </c>
      <c r="L15" s="31">
        <v>10</v>
      </c>
      <c r="M15" s="38"/>
      <c r="N15" s="31">
        <v>10</v>
      </c>
      <c r="O15" s="31">
        <v>10</v>
      </c>
      <c r="P15" s="31">
        <v>10</v>
      </c>
      <c r="Q15" s="34">
        <v>0</v>
      </c>
      <c r="R15" s="34">
        <v>0</v>
      </c>
      <c r="S15" s="31">
        <v>10</v>
      </c>
      <c r="T15" s="34">
        <v>0</v>
      </c>
      <c r="U15" s="34">
        <v>0</v>
      </c>
      <c r="V15" s="31">
        <v>10</v>
      </c>
      <c r="W15" s="31">
        <v>10</v>
      </c>
      <c r="X15" s="31">
        <v>10</v>
      </c>
      <c r="Y15" s="34">
        <v>0</v>
      </c>
      <c r="Z15" s="31">
        <v>10</v>
      </c>
      <c r="AA15" s="31">
        <v>10</v>
      </c>
      <c r="AB15" s="34">
        <v>0</v>
      </c>
      <c r="AC15" s="34">
        <v>0</v>
      </c>
      <c r="AD15" s="31">
        <v>10</v>
      </c>
      <c r="AE15" s="31"/>
      <c r="AF15" s="45">
        <f t="shared" si="0"/>
        <v>6.4</v>
      </c>
    </row>
    <row r="16" spans="2:32">
      <c r="B16" s="10">
        <v>10</v>
      </c>
      <c r="C16" s="10">
        <v>1278</v>
      </c>
      <c r="D16" s="9" t="s">
        <v>30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8"/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/>
      <c r="AF16" s="45">
        <f t="shared" si="0"/>
        <v>0</v>
      </c>
    </row>
  </sheetData>
  <mergeCells count="16">
    <mergeCell ref="B2:D2"/>
    <mergeCell ref="E2:AF2"/>
    <mergeCell ref="E3:H3"/>
    <mergeCell ref="I3:J3"/>
    <mergeCell ref="K3:L3"/>
    <mergeCell ref="O3:Q3"/>
    <mergeCell ref="R3:S3"/>
    <mergeCell ref="T3:U3"/>
    <mergeCell ref="Y3:Z3"/>
    <mergeCell ref="E4:H4"/>
    <mergeCell ref="I4:J4"/>
    <mergeCell ref="K4:L4"/>
    <mergeCell ref="O4:Q4"/>
    <mergeCell ref="R4:S4"/>
    <mergeCell ref="T4:U4"/>
    <mergeCell ref="Y4:Z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14"/>
  <sheetViews>
    <sheetView workbookViewId="0">
      <selection activeCell="V18" sqref="V18"/>
    </sheetView>
  </sheetViews>
  <sheetFormatPr defaultColWidth="9.14166666666667" defaultRowHeight="13.8"/>
  <cols>
    <col min="4" max="4" width="34.8583333333333" customWidth="1"/>
    <col min="5" max="6" width="4.28333333333333" customWidth="1"/>
    <col min="7" max="7" width="4.70833333333333" customWidth="1"/>
    <col min="8" max="9" width="4.28333333333333" customWidth="1"/>
    <col min="10" max="10" width="4.70833333333333" customWidth="1"/>
    <col min="11" max="17" width="4.28333333333333" customWidth="1"/>
    <col min="18" max="18" width="4.70833333333333" customWidth="1"/>
    <col min="19" max="20" width="4.28333333333333" customWidth="1"/>
    <col min="21" max="22" width="4.70833333333333" customWidth="1"/>
    <col min="23" max="23" width="9.56666666666667" customWidth="1"/>
  </cols>
  <sheetData>
    <row r="2" spans="2:23">
      <c r="B2" s="1" t="s">
        <v>56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>
      <c r="B3" s="11"/>
      <c r="C3" s="11"/>
      <c r="D3" s="12" t="s">
        <v>57</v>
      </c>
      <c r="E3" s="6">
        <v>1</v>
      </c>
      <c r="F3" s="6">
        <v>2</v>
      </c>
      <c r="G3" s="6">
        <v>3</v>
      </c>
      <c r="H3" s="6">
        <v>4</v>
      </c>
      <c r="I3" s="6">
        <v>5</v>
      </c>
      <c r="J3" s="6">
        <v>6</v>
      </c>
      <c r="K3" s="6">
        <v>7</v>
      </c>
      <c r="L3" s="6">
        <v>8</v>
      </c>
      <c r="M3" s="6">
        <v>9</v>
      </c>
      <c r="N3" s="6">
        <v>10</v>
      </c>
      <c r="O3" s="6">
        <v>11</v>
      </c>
      <c r="P3" s="6">
        <v>12</v>
      </c>
      <c r="Q3" s="6">
        <v>13</v>
      </c>
      <c r="R3" s="6">
        <v>14</v>
      </c>
      <c r="S3" s="6">
        <v>15</v>
      </c>
      <c r="T3" s="6">
        <v>16</v>
      </c>
      <c r="U3" s="6">
        <v>17</v>
      </c>
      <c r="V3" s="6">
        <v>18</v>
      </c>
      <c r="W3" s="6" t="s">
        <v>10</v>
      </c>
    </row>
    <row r="4" ht="113" customHeight="1" spans="2:23">
      <c r="B4" s="7" t="s">
        <v>15</v>
      </c>
      <c r="C4" s="7" t="s">
        <v>16</v>
      </c>
      <c r="D4" s="8" t="s">
        <v>17</v>
      </c>
      <c r="E4" s="13" t="s">
        <v>58</v>
      </c>
      <c r="F4" s="13" t="s">
        <v>59</v>
      </c>
      <c r="G4" s="13" t="s">
        <v>60</v>
      </c>
      <c r="H4" s="14" t="s">
        <v>61</v>
      </c>
      <c r="I4" s="16" t="s">
        <v>62</v>
      </c>
      <c r="J4" s="14" t="s">
        <v>63</v>
      </c>
      <c r="K4" s="17" t="s">
        <v>64</v>
      </c>
      <c r="L4" s="17" t="s">
        <v>65</v>
      </c>
      <c r="M4" s="13" t="s">
        <v>66</v>
      </c>
      <c r="N4" s="13" t="s">
        <v>67</v>
      </c>
      <c r="O4" s="14" t="s">
        <v>68</v>
      </c>
      <c r="P4" s="18" t="s">
        <v>69</v>
      </c>
      <c r="Q4" s="13" t="s">
        <v>70</v>
      </c>
      <c r="R4" s="19" t="s">
        <v>71</v>
      </c>
      <c r="S4" s="13" t="s">
        <v>72</v>
      </c>
      <c r="T4" s="18" t="s">
        <v>73</v>
      </c>
      <c r="U4" s="20" t="s">
        <v>74</v>
      </c>
      <c r="V4" s="13" t="s">
        <v>75</v>
      </c>
      <c r="W4" s="11"/>
    </row>
    <row r="5" spans="2:23">
      <c r="B5" s="10">
        <v>1</v>
      </c>
      <c r="C5" s="10">
        <v>979</v>
      </c>
      <c r="D5" s="9" t="s">
        <v>18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21">
        <f>AVERAGE(E5:V5)</f>
        <v>0</v>
      </c>
    </row>
    <row r="6" spans="2:23">
      <c r="B6" s="10">
        <v>2</v>
      </c>
      <c r="C6" s="10">
        <v>1133</v>
      </c>
      <c r="D6" s="9" t="s">
        <v>19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21">
        <f t="shared" ref="W6:W14" si="0">AVERAGE(E6:V6)</f>
        <v>0</v>
      </c>
    </row>
    <row r="7" spans="2:23">
      <c r="B7" s="10">
        <v>3</v>
      </c>
      <c r="C7" s="10">
        <v>1235</v>
      </c>
      <c r="D7" s="9" t="s">
        <v>21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21">
        <f t="shared" si="0"/>
        <v>0</v>
      </c>
    </row>
    <row r="8" spans="2:23">
      <c r="B8" s="10">
        <v>4</v>
      </c>
      <c r="C8" s="10">
        <v>986</v>
      </c>
      <c r="D8" s="9" t="s">
        <v>23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21">
        <f t="shared" si="0"/>
        <v>0</v>
      </c>
    </row>
    <row r="9" spans="2:23">
      <c r="B9" s="10">
        <v>5</v>
      </c>
      <c r="C9" s="10">
        <v>1105</v>
      </c>
      <c r="D9" s="9" t="s">
        <v>24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21">
        <f t="shared" si="0"/>
        <v>0</v>
      </c>
    </row>
    <row r="10" spans="2:23">
      <c r="B10" s="10">
        <v>6</v>
      </c>
      <c r="C10" s="10">
        <v>944</v>
      </c>
      <c r="D10" s="9" t="s">
        <v>25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21">
        <f t="shared" si="0"/>
        <v>0</v>
      </c>
    </row>
    <row r="11" spans="2:23">
      <c r="B11" s="10">
        <v>7</v>
      </c>
      <c r="C11" s="10">
        <v>1021</v>
      </c>
      <c r="D11" s="9" t="s">
        <v>26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21">
        <f t="shared" si="0"/>
        <v>0</v>
      </c>
    </row>
    <row r="12" spans="2:23">
      <c r="B12" s="10">
        <v>8</v>
      </c>
      <c r="C12" s="10">
        <v>1219</v>
      </c>
      <c r="D12" s="9" t="s">
        <v>28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21">
        <f t="shared" si="0"/>
        <v>0</v>
      </c>
    </row>
    <row r="13" spans="2:23">
      <c r="B13" s="10">
        <v>9</v>
      </c>
      <c r="C13" s="10">
        <v>1220</v>
      </c>
      <c r="D13" s="9" t="s">
        <v>29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21">
        <f t="shared" si="0"/>
        <v>0</v>
      </c>
    </row>
    <row r="14" spans="2:24">
      <c r="B14" s="10">
        <v>10</v>
      </c>
      <c r="C14" s="10">
        <v>1278</v>
      </c>
      <c r="D14" s="9" t="s">
        <v>30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21">
        <f t="shared" si="0"/>
        <v>0</v>
      </c>
      <c r="X14">
        <v>4</v>
      </c>
    </row>
  </sheetData>
  <mergeCells count="2">
    <mergeCell ref="B2:D2"/>
    <mergeCell ref="E2:W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24" sqref="E24"/>
    </sheetView>
  </sheetViews>
  <sheetFormatPr defaultColWidth="9" defaultRowHeight="13.8" outlineLevelCol="4"/>
  <cols>
    <col min="3" max="3" width="32.5" customWidth="1"/>
    <col min="4" max="4" width="39.25" customWidth="1"/>
    <col min="5" max="5" width="47.25" customWidth="1"/>
  </cols>
  <sheetData>
    <row r="1" spans="1:5">
      <c r="A1" s="1" t="s">
        <v>76</v>
      </c>
      <c r="B1" s="1"/>
      <c r="C1" s="1"/>
      <c r="D1" s="2" t="s">
        <v>77</v>
      </c>
      <c r="E1" s="3"/>
    </row>
    <row r="2" spans="1:5">
      <c r="A2" s="4"/>
      <c r="B2" s="4"/>
      <c r="C2" s="5"/>
      <c r="D2" s="6" t="s">
        <v>78</v>
      </c>
      <c r="E2" s="6" t="s">
        <v>79</v>
      </c>
    </row>
    <row r="3" spans="1:5">
      <c r="A3" s="7" t="s">
        <v>15</v>
      </c>
      <c r="B3" s="7" t="s">
        <v>16</v>
      </c>
      <c r="C3" s="8" t="s">
        <v>17</v>
      </c>
      <c r="D3" s="9"/>
      <c r="E3" s="9"/>
    </row>
    <row r="4" spans="1:5">
      <c r="A4" s="10">
        <v>1</v>
      </c>
      <c r="B4" s="10">
        <v>979</v>
      </c>
      <c r="C4" s="9" t="s">
        <v>18</v>
      </c>
      <c r="D4" s="9"/>
      <c r="E4" s="9"/>
    </row>
    <row r="5" spans="1:5">
      <c r="A5" s="10">
        <v>2</v>
      </c>
      <c r="B5" s="10">
        <v>1133</v>
      </c>
      <c r="C5" s="9" t="s">
        <v>19</v>
      </c>
      <c r="D5" s="9"/>
      <c r="E5" s="9"/>
    </row>
    <row r="6" spans="1:5">
      <c r="A6" s="10">
        <v>3</v>
      </c>
      <c r="B6" s="10">
        <v>1235</v>
      </c>
      <c r="C6" s="9" t="s">
        <v>21</v>
      </c>
      <c r="D6" s="9"/>
      <c r="E6" s="9"/>
    </row>
    <row r="7" spans="1:5">
      <c r="A7" s="10">
        <v>4</v>
      </c>
      <c r="B7" s="10">
        <v>986</v>
      </c>
      <c r="C7" s="9" t="s">
        <v>23</v>
      </c>
      <c r="D7" s="9"/>
      <c r="E7" s="9"/>
    </row>
    <row r="8" spans="1:5">
      <c r="A8" s="10">
        <v>5</v>
      </c>
      <c r="B8" s="10">
        <v>1105</v>
      </c>
      <c r="C8" s="9" t="s">
        <v>24</v>
      </c>
      <c r="D8" s="9"/>
      <c r="E8" s="9"/>
    </row>
    <row r="9" spans="1:5">
      <c r="A9" s="10">
        <v>6</v>
      </c>
      <c r="B9" s="10">
        <v>944</v>
      </c>
      <c r="C9" s="9" t="s">
        <v>25</v>
      </c>
      <c r="D9" s="9"/>
      <c r="E9" s="9"/>
    </row>
    <row r="10" spans="1:5">
      <c r="A10" s="10">
        <v>7</v>
      </c>
      <c r="B10" s="10">
        <v>1021</v>
      </c>
      <c r="C10" s="9" t="s">
        <v>26</v>
      </c>
      <c r="D10" s="9"/>
      <c r="E10" s="9"/>
    </row>
    <row r="11" spans="1:5">
      <c r="A11" s="10">
        <v>8</v>
      </c>
      <c r="B11" s="10">
        <v>1219</v>
      </c>
      <c r="C11" s="9" t="s">
        <v>28</v>
      </c>
      <c r="D11" s="9"/>
      <c r="E11" s="9"/>
    </row>
    <row r="12" spans="1:5">
      <c r="A12" s="10">
        <v>9</v>
      </c>
      <c r="B12" s="10">
        <v>1220</v>
      </c>
      <c r="C12" s="9" t="s">
        <v>29</v>
      </c>
      <c r="D12" s="9"/>
      <c r="E12" s="9"/>
    </row>
    <row r="13" spans="1:5">
      <c r="A13" s="10">
        <v>10</v>
      </c>
      <c r="B13" s="10">
        <v>1278</v>
      </c>
      <c r="C13" s="9" t="s">
        <v>30</v>
      </c>
      <c r="D13" s="9"/>
      <c r="E13" s="9"/>
    </row>
  </sheetData>
  <mergeCells count="2">
    <mergeCell ref="A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Calificaciones</vt:lpstr>
      <vt:lpstr>Libro 1</vt:lpstr>
      <vt:lpstr>Tareas</vt:lpstr>
      <vt:lpstr>Incidencias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activ</cp:lastModifiedBy>
  <dcterms:created xsi:type="dcterms:W3CDTF">2025-11-01T17:31:00Z</dcterms:created>
  <dcterms:modified xsi:type="dcterms:W3CDTF">2025-11-14T18:07:17Z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6F099ED83EA4415191A9CD85F2EE9FF3_12</vt:lpwstr>
  </property>
  <property fmtid="{D5CDD505-2E9C-101B-9397-08002B2CF9AE}" pid="3" name="KSOProductBuildVer">
    <vt:lpwstr>2058-12.2.0.23155</vt:lpwstr>
  </property>
</Properties>
</file>