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Calificaciones 2025-2026\"/>
    </mc:Choice>
  </mc:AlternateContent>
  <xr:revisionPtr revIDLastSave="0" documentId="13_ncr:1_{0D5492DE-B419-43AA-AA86-B6194DF8518B}" xr6:coauthVersionLast="47" xr6:coauthVersionMax="47" xr10:uidLastSave="{00000000-0000-0000-0000-000000000000}"/>
  <bookViews>
    <workbookView xWindow="-120" yWindow="-120" windowWidth="29040" windowHeight="15720" activeTab="1" xr2:uid="{B2EF7373-A7E6-423B-9BCC-817B77FBEC7D}"/>
  </bookViews>
  <sheets>
    <sheet name="Calificaciones" sheetId="3" r:id="rId1"/>
    <sheet name="Libro 1" sheetId="4" r:id="rId2"/>
    <sheet name="Tarea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3" l="1"/>
  <c r="J8" i="3"/>
  <c r="J9" i="3"/>
  <c r="J10" i="3"/>
  <c r="J11" i="3"/>
  <c r="J12" i="3"/>
  <c r="J13" i="3"/>
  <c r="J14" i="3"/>
  <c r="J15" i="3"/>
  <c r="J6" i="3"/>
  <c r="AE7" i="4"/>
  <c r="AE8" i="4"/>
  <c r="AE9" i="4"/>
  <c r="AE10" i="4"/>
  <c r="AE11" i="4"/>
  <c r="AE12" i="4"/>
  <c r="AE13" i="4"/>
  <c r="AE14" i="4"/>
  <c r="AE15" i="4"/>
  <c r="AE16" i="4"/>
  <c r="K16" i="3"/>
  <c r="J16" i="3"/>
  <c r="H16" i="3"/>
  <c r="G16" i="3"/>
  <c r="F16" i="3"/>
  <c r="E16" i="3"/>
  <c r="I15" i="3"/>
  <c r="I12" i="3"/>
  <c r="I10" i="3"/>
  <c r="L10" i="3" s="1"/>
  <c r="I9" i="3"/>
  <c r="L9" i="3" s="1"/>
  <c r="I8" i="3"/>
  <c r="L8" i="3" s="1"/>
  <c r="I7" i="3"/>
  <c r="L7" i="3" s="1"/>
  <c r="I6" i="3"/>
  <c r="L6" i="3" s="1"/>
  <c r="W6" i="1"/>
  <c r="W7" i="1"/>
  <c r="W8" i="1"/>
  <c r="W9" i="1"/>
  <c r="W10" i="1"/>
  <c r="I11" i="3" s="1"/>
  <c r="W11" i="1"/>
  <c r="W12" i="1"/>
  <c r="I13" i="3" s="1"/>
  <c r="W13" i="1"/>
  <c r="I14" i="3" s="1"/>
  <c r="W14" i="1"/>
  <c r="W5" i="1"/>
  <c r="L14" i="3" l="1"/>
  <c r="L13" i="3"/>
  <c r="L12" i="3"/>
  <c r="L15" i="3"/>
  <c r="L11" i="3"/>
  <c r="I16" i="3"/>
  <c r="L16" i="3"/>
</calcChain>
</file>

<file path=xl/sharedStrings.xml><?xml version="1.0" encoding="utf-8"?>
<sst xmlns="http://schemas.openxmlformats.org/spreadsheetml/2006/main" count="93" uniqueCount="53">
  <si>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</si>
  <si>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</si>
  <si>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</si>
  <si>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</si>
  <si>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</si>
  <si>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</si>
  <si>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</si>
  <si>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</si>
  <si>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</si>
  <si>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</si>
  <si>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</si>
  <si>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</si>
  <si>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</si>
  <si>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</si>
  <si>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Gonzalez Parra Wolfrang Alejandro</t>
  </si>
  <si>
    <t>Matute Castillo Andres David</t>
  </si>
  <si>
    <t>Meixner Ponce Christopher Santiago</t>
  </si>
  <si>
    <t>Mendoza Gaspar Carlos</t>
  </si>
  <si>
    <t>Moctexuma Ocegueda Ambar Paulina</t>
  </si>
  <si>
    <t>Rios Alvarado Julia Romina</t>
  </si>
  <si>
    <t>Sanchez Pedraza Amaia Estefania</t>
  </si>
  <si>
    <t>Soto Lobo Danna Sofia</t>
  </si>
  <si>
    <t>Soto Lobo Fernando</t>
  </si>
  <si>
    <t>Velazquez Jasso Daniel</t>
  </si>
  <si>
    <t>Ética, Naturaleza y Sociedades</t>
  </si>
  <si>
    <t>Tarea</t>
  </si>
  <si>
    <t>TOTAL</t>
  </si>
  <si>
    <t>N3 PRIMARIA 3°A</t>
  </si>
  <si>
    <t>N3PRIMARIA 3°A</t>
  </si>
  <si>
    <t>Páginas</t>
  </si>
  <si>
    <t>Martes 16/9/2025</t>
  </si>
  <si>
    <t>Libro</t>
  </si>
  <si>
    <t>N3 Primaria 2°A</t>
  </si>
  <si>
    <t>C1</t>
  </si>
  <si>
    <t>Martes 9/9/2025                  La Polinización</t>
  </si>
  <si>
    <t>Miércoles 10/9/2025 Explorando mi Comunidad</t>
  </si>
  <si>
    <t>C2</t>
  </si>
  <si>
    <t>C3</t>
  </si>
  <si>
    <t>Miércoles 17/9/2025 Formo parte del ecosistema</t>
  </si>
  <si>
    <t>Miércoles 24/9/2025 Diversidad cultural</t>
  </si>
  <si>
    <t>E</t>
  </si>
  <si>
    <t>Miércoles 15/10/2025 ¿Cómo fue mi localidad?</t>
  </si>
  <si>
    <t>Jueves 25/9/2025 Evaluación</t>
  </si>
  <si>
    <t>Jueves 11/9/2025 Explorando mi Comunidad</t>
  </si>
  <si>
    <t>Jueves 18/9/2025         Formo parte de mi ecosistema</t>
  </si>
  <si>
    <t>Martes 23/9/2025              Mi comunidad tiene cultura</t>
  </si>
  <si>
    <t>Jueves 16/10/2025               ¿Cómo fue mi localidad?</t>
  </si>
  <si>
    <t>Martes 21/10/2025 Cambios en mi localidad</t>
  </si>
  <si>
    <t>Miércoles 22/10/2025 Tengo necesidades y derechos</t>
  </si>
  <si>
    <t>Jueves 23/10/2025         Tengo necesidades y derechos</t>
  </si>
  <si>
    <t>Martes 4/11/2025               Mis necesidades y derechos</t>
  </si>
  <si>
    <t>Miércoles 5/11/2025         Mis necesidades y derechos</t>
  </si>
  <si>
    <t>Ética, naturaleza y sociedades Libro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</si>
</sst>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textRotation="90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textRotation="90" wrapText="1"/>
    </xf>
    <xf numFmtId="0" fontId="1" fillId="2" borderId="3" xfId="0" applyFont="1" applyFill="1" applyBorder="1" applyAlignment="1">
      <alignment horizontal="center" vertical="center" textRotation="90" wrapText="1"/>
    </xf>
    <xf numFmtId="0" fontId="1" fillId="2" borderId="4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 textRotation="90" wrapText="1"/>
    </xf>
    <xf numFmtId="164" fontId="0" fillId="6" borderId="1" xfId="0" applyNumberForma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textRotation="90" wrapText="1"/>
    </xf>
    <xf numFmtId="164" fontId="4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16"/>
  <sheetViews>
    <sheetView zoomScaleNormal="100" workbookViewId="0">
      <selection activeCell="P12" sqref="P12"/>
    </sheetView>
  </sheetViews>
  <sheetFormatPr defaultRowHeight="15" x14ac:dyDescent="0.25"/>
  <cols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5" t="s">
        <v>28</v>
      </c>
      <c r="C2" s="15"/>
      <c r="D2" s="15"/>
      <c r="E2" s="15" t="s">
        <v>24</v>
      </c>
      <c r="F2" s="15"/>
      <c r="G2" s="15"/>
      <c r="H2" s="15"/>
      <c r="I2" s="15"/>
      <c r="J2" s="15"/>
      <c r="K2" s="15"/>
      <c r="L2" s="15"/>
      <c r="M2" s="15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979</v>
      </c>
      <c r="D6" s="1" t="s">
        <v>14</v>
      </c>
      <c r="E6" s="12">
        <v>6</v>
      </c>
      <c r="F6" s="12">
        <v>8</v>
      </c>
      <c r="G6" s="9">
        <v>0</v>
      </c>
      <c r="H6" s="9">
        <v>0</v>
      </c>
      <c r="I6" s="9">
        <f>Tareas!W5</f>
        <v>0</v>
      </c>
      <c r="J6" s="9">
        <f>'Libro 1'!AE7*0.5</f>
        <v>0</v>
      </c>
      <c r="K6" s="9">
        <v>0</v>
      </c>
      <c r="L6" s="11">
        <f xml:space="preserve"> E6*0.09 + F6*0.09 + G8*0.25 + H6*0.07 + I6*0.2 + J6*0.2 + K6*0.1</f>
        <v>1.26</v>
      </c>
      <c r="M6" s="1"/>
    </row>
    <row r="7" spans="2:13" x14ac:dyDescent="0.25">
      <c r="B7" s="5">
        <v>2</v>
      </c>
      <c r="C7" s="5">
        <v>1133</v>
      </c>
      <c r="D7" s="1" t="s">
        <v>15</v>
      </c>
      <c r="E7" s="12">
        <v>9</v>
      </c>
      <c r="F7" s="12">
        <v>7</v>
      </c>
      <c r="G7" s="9">
        <v>0</v>
      </c>
      <c r="H7" s="9">
        <v>0</v>
      </c>
      <c r="I7" s="9">
        <f>Tareas!W6</f>
        <v>0</v>
      </c>
      <c r="J7" s="9">
        <f>'Libro 1'!AE8*0.5</f>
        <v>0</v>
      </c>
      <c r="K7" s="9">
        <v>0</v>
      </c>
      <c r="L7" s="11">
        <f t="shared" ref="L7:L15" si="0" xml:space="preserve"> E7*0.09 + F7*0.09 + G7*0.25 + H7*0.07 + I7*0.2 + J7*0.2 + K7*0.1</f>
        <v>1.44</v>
      </c>
      <c r="M7" s="1"/>
    </row>
    <row r="8" spans="2:13" x14ac:dyDescent="0.25">
      <c r="B8" s="5">
        <v>3</v>
      </c>
      <c r="C8" s="5">
        <v>1235</v>
      </c>
      <c r="D8" s="1" t="s">
        <v>16</v>
      </c>
      <c r="E8" s="12">
        <v>4</v>
      </c>
      <c r="F8" s="12">
        <v>2</v>
      </c>
      <c r="G8" s="9">
        <v>0</v>
      </c>
      <c r="H8" s="9">
        <v>0</v>
      </c>
      <c r="I8" s="9">
        <f>Tareas!W7</f>
        <v>0</v>
      </c>
      <c r="J8" s="9">
        <f>'Libro 1'!AE9*0.5</f>
        <v>0</v>
      </c>
      <c r="K8" s="9">
        <v>0</v>
      </c>
      <c r="L8" s="11">
        <f t="shared" si="0"/>
        <v>0.54</v>
      </c>
      <c r="M8" s="1"/>
    </row>
    <row r="9" spans="2:13" x14ac:dyDescent="0.25">
      <c r="B9" s="5">
        <v>4</v>
      </c>
      <c r="C9" s="5">
        <v>986</v>
      </c>
      <c r="D9" s="1" t="s">
        <v>17</v>
      </c>
      <c r="E9" s="12">
        <v>9</v>
      </c>
      <c r="F9" s="12">
        <v>3</v>
      </c>
      <c r="G9" s="9">
        <v>0</v>
      </c>
      <c r="H9" s="9">
        <v>0</v>
      </c>
      <c r="I9" s="9">
        <f>Tareas!W8</f>
        <v>0</v>
      </c>
      <c r="J9" s="9">
        <f>'Libro 1'!AE10*0.5</f>
        <v>3.38</v>
      </c>
      <c r="K9" s="9">
        <v>0</v>
      </c>
      <c r="L9" s="11">
        <f t="shared" si="0"/>
        <v>1.7560000000000002</v>
      </c>
      <c r="M9" s="1"/>
    </row>
    <row r="10" spans="2:13" x14ac:dyDescent="0.25">
      <c r="B10" s="5">
        <v>5</v>
      </c>
      <c r="C10" s="5">
        <v>1105</v>
      </c>
      <c r="D10" s="1" t="s">
        <v>18</v>
      </c>
      <c r="E10" s="12">
        <v>9</v>
      </c>
      <c r="F10" s="12">
        <v>7</v>
      </c>
      <c r="G10" s="9">
        <v>0</v>
      </c>
      <c r="H10" s="9">
        <v>0</v>
      </c>
      <c r="I10" s="9">
        <f>Tareas!W9</f>
        <v>0</v>
      </c>
      <c r="J10" s="9">
        <f>'Libro 1'!AE11*0.5</f>
        <v>0</v>
      </c>
      <c r="K10" s="9">
        <v>0</v>
      </c>
      <c r="L10" s="11">
        <f t="shared" si="0"/>
        <v>1.44</v>
      </c>
      <c r="M10" s="1"/>
    </row>
    <row r="11" spans="2:13" x14ac:dyDescent="0.25">
      <c r="B11" s="5">
        <v>6</v>
      </c>
      <c r="C11" s="5">
        <v>944</v>
      </c>
      <c r="D11" s="1" t="s">
        <v>19</v>
      </c>
      <c r="E11" s="12">
        <v>10</v>
      </c>
      <c r="F11" s="12">
        <v>9</v>
      </c>
      <c r="G11" s="9">
        <v>0</v>
      </c>
      <c r="H11" s="9">
        <v>0</v>
      </c>
      <c r="I11" s="9">
        <f>Tareas!W10</f>
        <v>0</v>
      </c>
      <c r="J11" s="9">
        <f>'Libro 1'!AE12*0.5</f>
        <v>0</v>
      </c>
      <c r="K11" s="9">
        <v>0</v>
      </c>
      <c r="L11" s="11">
        <f t="shared" si="0"/>
        <v>1.71</v>
      </c>
      <c r="M11" s="1"/>
    </row>
    <row r="12" spans="2:13" x14ac:dyDescent="0.25">
      <c r="B12" s="5">
        <v>7</v>
      </c>
      <c r="C12" s="5">
        <v>1021</v>
      </c>
      <c r="D12" s="1" t="s">
        <v>20</v>
      </c>
      <c r="E12" s="12">
        <v>5</v>
      </c>
      <c r="F12" s="12">
        <v>9</v>
      </c>
      <c r="G12" s="9">
        <v>0</v>
      </c>
      <c r="H12" s="9">
        <v>0</v>
      </c>
      <c r="I12" s="9">
        <f>Tareas!W11</f>
        <v>0</v>
      </c>
      <c r="J12" s="9">
        <f>'Libro 1'!AE13*0.5</f>
        <v>0</v>
      </c>
      <c r="K12" s="9">
        <v>0</v>
      </c>
      <c r="L12" s="11">
        <f t="shared" si="0"/>
        <v>1.2599999999999998</v>
      </c>
      <c r="M12" s="1"/>
    </row>
    <row r="13" spans="2:13" x14ac:dyDescent="0.25">
      <c r="B13" s="5">
        <v>8</v>
      </c>
      <c r="C13" s="5">
        <v>1219</v>
      </c>
      <c r="D13" s="1" t="s">
        <v>21</v>
      </c>
      <c r="E13" s="12">
        <v>4</v>
      </c>
      <c r="F13" s="12">
        <v>6</v>
      </c>
      <c r="G13" s="9">
        <v>0</v>
      </c>
      <c r="H13" s="9">
        <v>0</v>
      </c>
      <c r="I13" s="9">
        <f>Tareas!W12</f>
        <v>0</v>
      </c>
      <c r="J13" s="9">
        <f>'Libro 1'!AE14*0.5</f>
        <v>0</v>
      </c>
      <c r="K13" s="9">
        <v>0</v>
      </c>
      <c r="L13" s="11">
        <f t="shared" si="0"/>
        <v>0.9</v>
      </c>
      <c r="M13" s="1"/>
    </row>
    <row r="14" spans="2:13" x14ac:dyDescent="0.25">
      <c r="B14" s="5">
        <v>9</v>
      </c>
      <c r="C14" s="5">
        <v>1220</v>
      </c>
      <c r="D14" s="1" t="s">
        <v>22</v>
      </c>
      <c r="E14" s="12">
        <v>9</v>
      </c>
      <c r="F14" s="12">
        <v>9</v>
      </c>
      <c r="G14" s="9">
        <v>0</v>
      </c>
      <c r="H14" s="9">
        <v>0</v>
      </c>
      <c r="I14" s="9">
        <f>Tareas!W13</f>
        <v>0</v>
      </c>
      <c r="J14" s="9">
        <f>'Libro 1'!AE15*0.5</f>
        <v>0</v>
      </c>
      <c r="K14" s="9">
        <v>0</v>
      </c>
      <c r="L14" s="11">
        <f t="shared" si="0"/>
        <v>1.6199999999999999</v>
      </c>
      <c r="M14" s="1"/>
    </row>
    <row r="15" spans="2:13" x14ac:dyDescent="0.25">
      <c r="B15" s="5">
        <v>10</v>
      </c>
      <c r="C15" s="5">
        <v>1278</v>
      </c>
      <c r="D15" s="1" t="s">
        <v>23</v>
      </c>
      <c r="E15" s="12">
        <v>6</v>
      </c>
      <c r="F15" s="12">
        <v>7</v>
      </c>
      <c r="G15" s="9">
        <v>0</v>
      </c>
      <c r="H15" s="9">
        <v>0</v>
      </c>
      <c r="I15" s="9">
        <f>Tareas!W14</f>
        <v>0</v>
      </c>
      <c r="J15" s="9">
        <f>'Libro 1'!AE16*0.5</f>
        <v>0</v>
      </c>
      <c r="K15" s="9">
        <v>0</v>
      </c>
      <c r="L15" s="11">
        <f t="shared" si="0"/>
        <v>1.17</v>
      </c>
      <c r="M15" s="1"/>
    </row>
    <row r="16" spans="2:13" x14ac:dyDescent="0.25">
      <c r="B16" s="16" t="s">
        <v>26</v>
      </c>
      <c r="C16" s="16"/>
      <c r="D16" s="16"/>
      <c r="E16" s="14">
        <f>AVERAGE(E6:E15)</f>
        <v>7.1</v>
      </c>
      <c r="F16" s="14">
        <f>AVERAGE(F6:F15)</f>
        <v>6.7</v>
      </c>
      <c r="G16" s="14">
        <f>AVERAGE(G7:G15)</f>
        <v>0</v>
      </c>
      <c r="H16" s="14">
        <f t="shared" ref="H16:L16" si="1">AVERAGE(H6:H15)</f>
        <v>0</v>
      </c>
      <c r="I16" s="14">
        <f t="shared" si="1"/>
        <v>0</v>
      </c>
      <c r="J16" s="14">
        <f t="shared" si="1"/>
        <v>0.33799999999999997</v>
      </c>
      <c r="K16" s="14">
        <f t="shared" si="1"/>
        <v>0</v>
      </c>
      <c r="L16" s="14">
        <f t="shared" si="1"/>
        <v>1.3096000000000001</v>
      </c>
      <c r="M16" s="13"/>
    </row>
  </sheetData>
  <mergeCells count="3">
    <mergeCell ref="B2:D2"/>
    <mergeCell ref="E2:M2"/>
    <mergeCell ref="B16:D1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2BAD-81F2-42F0-8CA8-62AE2AD1DE5C}">
  <dimension ref="B2:AE16"/>
  <sheetViews>
    <sheetView tabSelected="1" workbookViewId="0">
      <selection activeCell="AH4" sqref="AH4"/>
    </sheetView>
  </sheetViews>
  <sheetFormatPr defaultRowHeight="15" x14ac:dyDescent="0.25"/>
  <cols>
    <col min="4" max="4" width="35.42578125" bestFit="1" customWidth="1"/>
    <col min="5" max="5" width="3.7109375" bestFit="1" customWidth="1"/>
    <col min="6" max="8" width="3.5703125" bestFit="1" customWidth="1"/>
    <col min="9" max="11" width="4.5703125" bestFit="1" customWidth="1"/>
    <col min="12" max="12" width="4.5703125" customWidth="1"/>
    <col min="13" max="13" width="3.7109375" bestFit="1" customWidth="1"/>
    <col min="14" max="14" width="9.42578125" bestFit="1" customWidth="1"/>
    <col min="15" max="15" width="4.5703125" bestFit="1" customWidth="1"/>
    <col min="16" max="17" width="3.5703125" bestFit="1" customWidth="1"/>
    <col min="18" max="20" width="4.5703125" bestFit="1" customWidth="1"/>
    <col min="21" max="21" width="4.5703125" customWidth="1"/>
    <col min="22" max="22" width="6.5703125" bestFit="1" customWidth="1"/>
    <col min="23" max="23" width="7.7109375" customWidth="1"/>
    <col min="24" max="24" width="6.5703125" bestFit="1" customWidth="1"/>
    <col min="25" max="26" width="4.5703125" bestFit="1" customWidth="1"/>
    <col min="27" max="30" width="9.42578125" bestFit="1" customWidth="1"/>
  </cols>
  <sheetData>
    <row r="2" spans="2:31" x14ac:dyDescent="0.25">
      <c r="B2" s="15" t="s">
        <v>32</v>
      </c>
      <c r="C2" s="15"/>
      <c r="D2" s="15"/>
      <c r="E2" s="15" t="s">
        <v>52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2:31" ht="124.5" customHeight="1" x14ac:dyDescent="0.25">
      <c r="B3" s="6"/>
      <c r="C3" s="6"/>
      <c r="D3" s="23" t="s">
        <v>31</v>
      </c>
      <c r="E3" s="29" t="s">
        <v>34</v>
      </c>
      <c r="F3" s="30"/>
      <c r="G3" s="30"/>
      <c r="H3" s="31"/>
      <c r="I3" s="29" t="s">
        <v>35</v>
      </c>
      <c r="J3" s="31"/>
      <c r="K3" s="29" t="s">
        <v>43</v>
      </c>
      <c r="L3" s="31"/>
      <c r="M3" s="25" t="s">
        <v>30</v>
      </c>
      <c r="N3" s="32" t="s">
        <v>38</v>
      </c>
      <c r="O3" s="29" t="s">
        <v>44</v>
      </c>
      <c r="P3" s="30"/>
      <c r="Q3" s="31"/>
      <c r="R3" s="29" t="s">
        <v>45</v>
      </c>
      <c r="S3" s="31"/>
      <c r="T3" s="29" t="s">
        <v>39</v>
      </c>
      <c r="U3" s="31"/>
      <c r="V3" s="32" t="s">
        <v>42</v>
      </c>
      <c r="W3" s="32" t="s">
        <v>41</v>
      </c>
      <c r="X3" s="41" t="s">
        <v>46</v>
      </c>
      <c r="Y3" s="29" t="s">
        <v>47</v>
      </c>
      <c r="Z3" s="31"/>
      <c r="AA3" s="32" t="s">
        <v>48</v>
      </c>
      <c r="AB3" s="32" t="s">
        <v>49</v>
      </c>
      <c r="AC3" s="32" t="s">
        <v>50</v>
      </c>
      <c r="AD3" s="32" t="s">
        <v>51</v>
      </c>
      <c r="AE3" s="8" t="s">
        <v>10</v>
      </c>
    </row>
    <row r="4" spans="2:31" ht="15.75" customHeight="1" x14ac:dyDescent="0.25">
      <c r="B4" s="6"/>
      <c r="C4" s="6"/>
      <c r="D4" s="23"/>
      <c r="E4" s="26" t="s">
        <v>33</v>
      </c>
      <c r="F4" s="27"/>
      <c r="G4" s="27"/>
      <c r="H4" s="28"/>
      <c r="I4" s="26" t="s">
        <v>33</v>
      </c>
      <c r="J4" s="27"/>
      <c r="K4" s="26" t="s">
        <v>33</v>
      </c>
      <c r="L4" s="27"/>
      <c r="M4" s="25"/>
      <c r="N4" s="34" t="s">
        <v>36</v>
      </c>
      <c r="O4" s="26" t="s">
        <v>36</v>
      </c>
      <c r="P4" s="27"/>
      <c r="Q4" s="28"/>
      <c r="R4" s="26" t="s">
        <v>36</v>
      </c>
      <c r="S4" s="28"/>
      <c r="T4" s="26" t="s">
        <v>36</v>
      </c>
      <c r="U4" s="28"/>
      <c r="V4" s="23" t="s">
        <v>40</v>
      </c>
      <c r="W4" s="23" t="s">
        <v>37</v>
      </c>
      <c r="X4" s="40" t="s">
        <v>37</v>
      </c>
      <c r="Y4" s="26" t="s">
        <v>37</v>
      </c>
      <c r="Z4" s="28"/>
      <c r="AA4" s="23" t="s">
        <v>37</v>
      </c>
      <c r="AB4" s="23" t="s">
        <v>37</v>
      </c>
      <c r="AC4" s="23" t="s">
        <v>37</v>
      </c>
      <c r="AD4" s="23" t="s">
        <v>37</v>
      </c>
      <c r="AE4" s="8"/>
    </row>
    <row r="5" spans="2:31" x14ac:dyDescent="0.25">
      <c r="B5" s="1"/>
      <c r="C5" s="1"/>
      <c r="D5" s="24" t="s">
        <v>29</v>
      </c>
      <c r="E5" s="21">
        <v>50</v>
      </c>
      <c r="F5" s="21">
        <v>51</v>
      </c>
      <c r="G5" s="21">
        <v>52</v>
      </c>
      <c r="H5" s="21">
        <v>53</v>
      </c>
      <c r="I5" s="21">
        <v>54</v>
      </c>
      <c r="J5" s="21">
        <v>55</v>
      </c>
      <c r="K5" s="21">
        <v>56</v>
      </c>
      <c r="L5" s="21">
        <v>57</v>
      </c>
      <c r="M5" s="22"/>
      <c r="N5" s="21">
        <v>28</v>
      </c>
      <c r="O5" s="21">
        <v>29</v>
      </c>
      <c r="P5" s="21">
        <v>30</v>
      </c>
      <c r="Q5" s="21">
        <v>31</v>
      </c>
      <c r="R5" s="21">
        <v>32</v>
      </c>
      <c r="S5" s="21">
        <v>33</v>
      </c>
      <c r="T5" s="21">
        <v>34</v>
      </c>
      <c r="U5" s="21">
        <v>35</v>
      </c>
      <c r="V5" s="21">
        <v>42</v>
      </c>
      <c r="W5" s="21">
        <v>20</v>
      </c>
      <c r="X5" s="39">
        <v>21</v>
      </c>
      <c r="Y5" s="21">
        <v>22</v>
      </c>
      <c r="Z5" s="21">
        <v>23</v>
      </c>
      <c r="AA5" s="21">
        <v>24</v>
      </c>
      <c r="AB5" s="43">
        <v>25</v>
      </c>
      <c r="AC5" s="43">
        <v>26</v>
      </c>
      <c r="AD5" s="21">
        <v>27</v>
      </c>
      <c r="AE5" s="23"/>
    </row>
    <row r="6" spans="2:31" x14ac:dyDescent="0.25">
      <c r="B6" s="3" t="s">
        <v>0</v>
      </c>
      <c r="C6" s="3" t="s">
        <v>1</v>
      </c>
      <c r="D6" s="2" t="s">
        <v>2</v>
      </c>
      <c r="E6" s="21"/>
      <c r="F6" s="21"/>
      <c r="G6" s="21"/>
      <c r="H6" s="21"/>
      <c r="I6" s="21"/>
      <c r="J6" s="21"/>
      <c r="K6" s="21"/>
      <c r="L6" s="21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38"/>
      <c r="Y6" s="21"/>
      <c r="Z6" s="21"/>
      <c r="AA6" s="21"/>
      <c r="AB6" s="43"/>
      <c r="AC6" s="21"/>
      <c r="AD6" s="21"/>
      <c r="AE6" s="20"/>
    </row>
    <row r="7" spans="2:31" x14ac:dyDescent="0.25">
      <c r="B7" s="5">
        <v>1</v>
      </c>
      <c r="C7" s="5">
        <v>979</v>
      </c>
      <c r="D7" s="1" t="s">
        <v>14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9"/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7">
        <f>AVERAGE(E7:AD7)</f>
        <v>0</v>
      </c>
    </row>
    <row r="8" spans="2:31" x14ac:dyDescent="0.25">
      <c r="B8" s="5">
        <v>2</v>
      </c>
      <c r="C8" s="5">
        <v>1133</v>
      </c>
      <c r="D8" s="1" t="s">
        <v>15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9"/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7">
        <f>AVERAGE(E8:AD8)</f>
        <v>0</v>
      </c>
    </row>
    <row r="9" spans="2:31" x14ac:dyDescent="0.25">
      <c r="B9" s="5">
        <v>3</v>
      </c>
      <c r="C9" s="5">
        <v>1235</v>
      </c>
      <c r="D9" s="1" t="s">
        <v>16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9"/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D9" s="18">
        <v>0</v>
      </c>
      <c r="AE9" s="17">
        <f>AVERAGE(E9:AD9)</f>
        <v>0</v>
      </c>
    </row>
    <row r="10" spans="2:31" x14ac:dyDescent="0.25">
      <c r="B10" s="44">
        <v>4</v>
      </c>
      <c r="C10" s="44">
        <v>986</v>
      </c>
      <c r="D10" s="45" t="s">
        <v>17</v>
      </c>
      <c r="E10" s="37">
        <v>0</v>
      </c>
      <c r="F10" s="37">
        <v>0</v>
      </c>
      <c r="G10" s="37">
        <v>0</v>
      </c>
      <c r="H10" s="37">
        <v>0</v>
      </c>
      <c r="I10" s="36">
        <v>10</v>
      </c>
      <c r="J10" s="33">
        <v>10</v>
      </c>
      <c r="K10" s="36">
        <v>10</v>
      </c>
      <c r="L10" s="33">
        <v>7</v>
      </c>
      <c r="M10" s="19"/>
      <c r="N10" s="36">
        <v>10</v>
      </c>
      <c r="O10" s="36">
        <v>10</v>
      </c>
      <c r="P10" s="36">
        <v>9</v>
      </c>
      <c r="Q10" s="36">
        <v>8</v>
      </c>
      <c r="R10" s="36">
        <v>10</v>
      </c>
      <c r="S10" s="36">
        <v>10</v>
      </c>
      <c r="T10" s="35">
        <v>0</v>
      </c>
      <c r="U10" s="37">
        <v>0</v>
      </c>
      <c r="V10" s="36">
        <v>7</v>
      </c>
      <c r="W10" s="36">
        <v>10</v>
      </c>
      <c r="X10" s="42">
        <v>0</v>
      </c>
      <c r="Y10" s="36">
        <v>10</v>
      </c>
      <c r="Z10" s="36">
        <v>10</v>
      </c>
      <c r="AA10" s="33">
        <v>8</v>
      </c>
      <c r="AB10" s="36">
        <v>10</v>
      </c>
      <c r="AC10" s="36">
        <v>10</v>
      </c>
      <c r="AD10" s="36">
        <v>10</v>
      </c>
      <c r="AE10" s="17">
        <f>AVERAGE(E10:AD10)</f>
        <v>6.76</v>
      </c>
    </row>
    <row r="11" spans="2:31" x14ac:dyDescent="0.25">
      <c r="B11" s="5">
        <v>5</v>
      </c>
      <c r="C11" s="5">
        <v>1105</v>
      </c>
      <c r="D11" s="1" t="s">
        <v>18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9"/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D11" s="18">
        <v>0</v>
      </c>
      <c r="AE11" s="17">
        <f>AVERAGE(E11:AD11)</f>
        <v>0</v>
      </c>
    </row>
    <row r="12" spans="2:31" x14ac:dyDescent="0.25">
      <c r="B12" s="5">
        <v>6</v>
      </c>
      <c r="C12" s="5">
        <v>944</v>
      </c>
      <c r="D12" s="1" t="s">
        <v>19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9"/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D12" s="18">
        <v>0</v>
      </c>
      <c r="AE12" s="17">
        <f>AVERAGE(E12:AD12)</f>
        <v>0</v>
      </c>
    </row>
    <row r="13" spans="2:31" x14ac:dyDescent="0.25">
      <c r="B13" s="5">
        <v>7</v>
      </c>
      <c r="C13" s="5">
        <v>1021</v>
      </c>
      <c r="D13" s="1" t="s">
        <v>20</v>
      </c>
      <c r="E13" s="18"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9"/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7">
        <f>AVERAGE(E13:AD13)</f>
        <v>0</v>
      </c>
    </row>
    <row r="14" spans="2:31" x14ac:dyDescent="0.25">
      <c r="B14" s="5">
        <v>8</v>
      </c>
      <c r="C14" s="5">
        <v>1219</v>
      </c>
      <c r="D14" s="1" t="s">
        <v>21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9"/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D14" s="18">
        <v>0</v>
      </c>
      <c r="AE14" s="17">
        <f>AVERAGE(E14:AD14)</f>
        <v>0</v>
      </c>
    </row>
    <row r="15" spans="2:31" x14ac:dyDescent="0.25">
      <c r="B15" s="5">
        <v>9</v>
      </c>
      <c r="C15" s="5">
        <v>1220</v>
      </c>
      <c r="D15" s="1" t="s">
        <v>22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9"/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D15" s="18">
        <v>0</v>
      </c>
      <c r="AE15" s="17">
        <f>AVERAGE(E15:AD15)</f>
        <v>0</v>
      </c>
    </row>
    <row r="16" spans="2:31" x14ac:dyDescent="0.25">
      <c r="B16" s="5">
        <v>10</v>
      </c>
      <c r="C16" s="5">
        <v>1278</v>
      </c>
      <c r="D16" s="1" t="s">
        <v>23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9"/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D16" s="18">
        <v>0</v>
      </c>
      <c r="AE16" s="17">
        <f>AVERAGE(E16:AD16)</f>
        <v>0</v>
      </c>
    </row>
  </sheetData>
  <mergeCells count="16">
    <mergeCell ref="Y4:Z4"/>
    <mergeCell ref="Y3:Z3"/>
    <mergeCell ref="O3:Q3"/>
    <mergeCell ref="O4:Q4"/>
    <mergeCell ref="R3:S3"/>
    <mergeCell ref="R4:S4"/>
    <mergeCell ref="T3:U3"/>
    <mergeCell ref="T4:U4"/>
    <mergeCell ref="B2:D2"/>
    <mergeCell ref="E2:AE2"/>
    <mergeCell ref="E3:H3"/>
    <mergeCell ref="E4:H4"/>
    <mergeCell ref="I3:J3"/>
    <mergeCell ref="I4:J4"/>
    <mergeCell ref="K3:L3"/>
    <mergeCell ref="K4:L4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W14"/>
  <sheetViews>
    <sheetView workbookViewId="0">
      <selection activeCell="B3" sqref="B3"/>
    </sheetView>
  </sheetViews>
  <sheetFormatPr defaultRowHeight="15" x14ac:dyDescent="0.25"/>
  <cols>
    <col min="4" max="4" width="34.85546875" bestFit="1" customWidth="1"/>
    <col min="5" max="6" width="4.28515625" customWidth="1"/>
    <col min="7" max="7" width="4.7109375" bestFit="1" customWidth="1"/>
    <col min="8" max="9" width="4.28515625" customWidth="1"/>
    <col min="10" max="10" width="4.7109375" bestFit="1" customWidth="1"/>
    <col min="11" max="17" width="4.28515625" customWidth="1"/>
    <col min="18" max="18" width="4.7109375" bestFit="1" customWidth="1"/>
    <col min="19" max="20" width="4.28515625" customWidth="1"/>
    <col min="21" max="22" width="4.7109375" bestFit="1" customWidth="1"/>
    <col min="23" max="23" width="9.5703125" bestFit="1" customWidth="1"/>
  </cols>
  <sheetData>
    <row r="2" spans="2:23" x14ac:dyDescent="0.25">
      <c r="B2" s="15" t="s">
        <v>27</v>
      </c>
      <c r="C2" s="15"/>
      <c r="D2" s="15"/>
      <c r="E2" s="15" t="s">
        <v>24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</row>
    <row r="3" spans="2:23" x14ac:dyDescent="0.25">
      <c r="B3" s="6"/>
      <c r="C3" s="6"/>
      <c r="D3" s="7" t="s">
        <v>25</v>
      </c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 t="s">
        <v>10</v>
      </c>
    </row>
    <row r="4" spans="2:23" x14ac:dyDescent="0.25">
      <c r="B4" s="3" t="s">
        <v>0</v>
      </c>
      <c r="C4" s="3" t="s">
        <v>1</v>
      </c>
      <c r="D4" s="2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"/>
    </row>
    <row r="5" spans="2:23" x14ac:dyDescent="0.25">
      <c r="B5" s="5">
        <v>1</v>
      </c>
      <c r="C5" s="5">
        <v>979</v>
      </c>
      <c r="D5" s="1" t="s">
        <v>14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1">
        <f>AVERAGE(E5:V5)</f>
        <v>0</v>
      </c>
    </row>
    <row r="6" spans="2:23" x14ac:dyDescent="0.25">
      <c r="B6" s="5">
        <v>2</v>
      </c>
      <c r="C6" s="5">
        <v>1133</v>
      </c>
      <c r="D6" s="1" t="s">
        <v>15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1">
        <f t="shared" ref="W6:W14" si="0">AVERAGE(E6:V6)</f>
        <v>0</v>
      </c>
    </row>
    <row r="7" spans="2:23" x14ac:dyDescent="0.25">
      <c r="B7" s="5">
        <v>3</v>
      </c>
      <c r="C7" s="5">
        <v>1235</v>
      </c>
      <c r="D7" s="1" t="s">
        <v>16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1">
        <f t="shared" si="0"/>
        <v>0</v>
      </c>
    </row>
    <row r="8" spans="2:23" x14ac:dyDescent="0.25">
      <c r="B8" s="5">
        <v>4</v>
      </c>
      <c r="C8" s="5">
        <v>986</v>
      </c>
      <c r="D8" s="1" t="s">
        <v>17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1">
        <f t="shared" si="0"/>
        <v>0</v>
      </c>
    </row>
    <row r="9" spans="2:23" x14ac:dyDescent="0.25">
      <c r="B9" s="5">
        <v>5</v>
      </c>
      <c r="C9" s="5">
        <v>1105</v>
      </c>
      <c r="D9" s="1" t="s">
        <v>18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1">
        <f t="shared" si="0"/>
        <v>0</v>
      </c>
    </row>
    <row r="10" spans="2:23" x14ac:dyDescent="0.25">
      <c r="B10" s="5">
        <v>6</v>
      </c>
      <c r="C10" s="5">
        <v>944</v>
      </c>
      <c r="D10" s="1" t="s">
        <v>19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1">
        <f t="shared" si="0"/>
        <v>0</v>
      </c>
    </row>
    <row r="11" spans="2:23" x14ac:dyDescent="0.25">
      <c r="B11" s="5">
        <v>7</v>
      </c>
      <c r="C11" s="5">
        <v>1021</v>
      </c>
      <c r="D11" s="1" t="s">
        <v>20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1">
        <f t="shared" si="0"/>
        <v>0</v>
      </c>
    </row>
    <row r="12" spans="2:23" x14ac:dyDescent="0.25">
      <c r="B12" s="5">
        <v>8</v>
      </c>
      <c r="C12" s="5">
        <v>1219</v>
      </c>
      <c r="D12" s="1" t="s">
        <v>21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1">
        <f t="shared" si="0"/>
        <v>0</v>
      </c>
    </row>
    <row r="13" spans="2:23" x14ac:dyDescent="0.25">
      <c r="B13" s="5">
        <v>9</v>
      </c>
      <c r="C13" s="5">
        <v>1220</v>
      </c>
      <c r="D13" s="1" t="s">
        <v>22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1">
        <f t="shared" si="0"/>
        <v>0</v>
      </c>
    </row>
    <row r="14" spans="2:23" x14ac:dyDescent="0.25">
      <c r="B14" s="5">
        <v>10</v>
      </c>
      <c r="C14" s="5">
        <v>1278</v>
      </c>
      <c r="D14" s="1" t="s">
        <v>23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1">
        <f t="shared" si="0"/>
        <v>0</v>
      </c>
    </row>
  </sheetData>
  <mergeCells count="2">
    <mergeCell ref="B2:D2"/>
    <mergeCell ref="E2:W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Calificaciones</vt:lpstr>
      <vt:lpstr>Libro 1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2025-11-01T17:31:50Z</dcterms:created>
  <dcterms:modified xsi:type="dcterms:W3CDTF">2025-11-06T05:42:40Z</dcterms:modified>
</cp:coreProperties>
</file>