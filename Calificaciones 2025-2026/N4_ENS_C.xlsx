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alificaciones" sheetId="3" r:id="rId1"/>
    <sheet name="Tareas" sheetId="1" r:id="rId2"/>
    <sheet name="INCIDENCIAS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<sst xmlns="http://schemas.openxmlformats.org/spreadsheetml/2006/main" count="64" uniqueCount="43">
  <si>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N4 PRIMARIA 4°A</t>
  </si>
  <si>
    <t>Ética, Naturaleza y Sociedades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</si>
  <si>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</si>
  <si>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</si>
  <si>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</si>
  <si>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</si>
  <si>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</si>
  <si>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</si>
  <si>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</si>
  <si>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</si>
  <si>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</si>
  <si>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</si>
  <si>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</si>
  <si>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</si>
  <si>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</si>
  <si>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</si>
  <si>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Alvarez España Alberto Zaid</t>
  </si>
  <si>
    <t>Hernandez madrigal Cesar daniel</t>
  </si>
  <si>
    <t>Lima Aguirre Marcos</t>
  </si>
  <si>
    <t>Nicolas Garcias Said Samuel</t>
  </si>
  <si>
    <t>Rodriguez Garibay Valory</t>
  </si>
  <si>
    <t>Wiechselbaum Romano Alessia Danielle</t>
  </si>
  <si>
    <t>TOTAL</t>
  </si>
  <si>
    <t>Tarea</t>
  </si>
  <si>
    <t xml:space="preserve">10 platillos (tuberculos, leguminosas y origen animal) </t>
  </si>
  <si>
    <t>¿Que es la UNESCO?</t>
  </si>
  <si>
    <t>Apuntar hábitos alimenticios?</t>
  </si>
  <si>
    <t xml:space="preserve">Receta Vegana </t>
  </si>
  <si>
    <t xml:space="preserve">Objeto con materiales reciclados. </t>
  </si>
  <si>
    <t>Dibujo de mercado o tianguis</t>
  </si>
  <si>
    <t>Culturas que hayan llevado trueques.</t>
  </si>
  <si>
    <t>Enfermedades causadas por la comida chatarra</t>
  </si>
  <si>
    <t xml:space="preserve">Consumo de contenido mental </t>
  </si>
  <si>
    <t xml:space="preserve">Mapa de México con D.P. </t>
  </si>
  <si>
    <t xml:space="preserve">Mapa mundi </t>
  </si>
  <si>
    <t xml:space="preserve">Qué son los alebrijes y dónde viven </t>
  </si>
  <si>
    <t xml:space="preserve">Frase sobre discriminación </t>
  </si>
  <si>
    <t xml:space="preserve">Maneras de demostrar respeto. </t>
  </si>
  <si>
    <t xml:space="preserve">Mapa mundi Alebrije </t>
  </si>
  <si>
    <t>N8 SECUNDARIA 2°A</t>
  </si>
  <si>
    <t>Historia II</t>
  </si>
  <si>
    <t xml:space="preserve">Revisión del Libro Páginas que debe. </t>
  </si>
  <si>
    <t xml:space="preserve">Revisión del Cuaderno Lecciones no apuntadas.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</si>
</sst>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78" fontId="0" fillId="0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0" fontId="3" fillId="0" borderId="1" xfId="0" applyFont="1" applyBorder="1" applyAlignment="1">
      <alignment textRotation="90" wrapText="1"/>
    </xf>
    <xf numFmtId="178" fontId="0" fillId="0" borderId="1" xfId="0" applyNumberFormat="1" applyBorder="1"/>
    <xf numFmtId="0" fontId="2" fillId="0" borderId="0" xfId="0" applyFont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center" textRotation="90" wrapText="1"/>
    </xf>
    <xf numFmtId="0" fontId="3" fillId="0" borderId="1" xfId="0" applyFont="1" applyBorder="1" applyAlignment="1">
      <alignment vertical="center" textRotation="90" wrapText="1"/>
    </xf>
    <xf numFmtId="0" fontId="4" fillId="0" borderId="1" xfId="0" applyFont="1" applyBorder="1" applyAlignment="1">
      <alignment textRotation="90" wrapText="1"/>
    </xf>
    <xf numFmtId="0" fontId="3" fillId="3" borderId="1" xfId="0" applyFont="1" applyFill="1" applyBorder="1" applyAlignment="1">
      <alignment horizontal="left" vertical="center" textRotation="90" wrapText="1"/>
    </xf>
    <xf numFmtId="0" fontId="4" fillId="3" borderId="1" xfId="0" applyFont="1" applyFill="1" applyBorder="1" applyAlignment="1">
      <alignment horizontal="left" vertical="center" textRotation="90" wrapText="1"/>
    </xf>
    <xf numFmtId="0" fontId="4" fillId="3" borderId="1" xfId="0" applyFont="1" applyFill="1" applyBorder="1" applyAlignment="1">
      <alignment horizontal="center" vertical="top" textRotation="90" wrapText="1"/>
    </xf>
    <xf numFmtId="178" fontId="1" fillId="3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8" fontId="0" fillId="0" borderId="1" xfId="0" applyNumberForma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78" fontId="1" fillId="5" borderId="1" xfId="0" applyNumberFormat="1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2"/>
  <sheetViews>
    <sheetView workbookViewId="0">
      <selection activeCell="J20" sqref="J20"/>
    </sheetView>
  </sheetViews>
  <sheetFormatPr defaultColWidth="9" defaultRowHeight="13.8"/>
  <cols>
    <col min="4" max="4" width="34.8583333333333" customWidth="1"/>
    <col min="5" max="6" width="9.28333333333333" customWidth="1"/>
    <col min="7" max="7" width="17.5666666666667" customWidth="1"/>
    <col min="8" max="8" width="10" customWidth="1"/>
    <col min="9" max="9" width="6.85833333333333" customWidth="1"/>
    <col min="10" max="10" width="14.1416666666667" customWidth="1"/>
    <col min="11" max="11" width="8.56666666666667" customWidth="1"/>
    <col min="12" max="12" width="9.56666666666667" customWidth="1"/>
    <col min="13" max="13" width="29.8583333333333" customWidth="1"/>
  </cols>
  <sheetData>
    <row r="2" spans="2:13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</row>
    <row r="3" spans="2:13">
      <c r="B3" s="12"/>
      <c r="C3" s="12"/>
      <c r="D3" s="13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</row>
    <row r="4" spans="2:13">
      <c r="B4" s="11"/>
      <c r="C4" s="11"/>
      <c r="D4" s="11" t="s">
        <v>12</v>
      </c>
      <c r="E4" s="29">
        <v>0.09</v>
      </c>
      <c r="F4" s="29">
        <v>0.09</v>
      </c>
      <c r="G4" s="29">
        <v>0.25</v>
      </c>
      <c r="H4" s="29">
        <v>0.07</v>
      </c>
      <c r="I4" s="29">
        <v>0.2</v>
      </c>
      <c r="J4" s="29">
        <v>0.2</v>
      </c>
      <c r="K4" s="29">
        <v>0.1</v>
      </c>
      <c r="L4" s="12"/>
      <c r="M4" s="11"/>
    </row>
    <row r="5" spans="2:13">
      <c r="B5" s="7" t="s">
        <v>13</v>
      </c>
      <c r="C5" s="7" t="s">
        <v>14</v>
      </c>
      <c r="D5" s="8" t="s">
        <v>15</v>
      </c>
      <c r="E5" s="11"/>
      <c r="F5" s="11"/>
      <c r="G5" s="11"/>
      <c r="H5" s="11"/>
      <c r="I5" s="11"/>
      <c r="J5" s="11"/>
      <c r="K5" s="11"/>
      <c r="L5" s="12"/>
      <c r="M5" s="11"/>
    </row>
    <row r="6" spans="2:13">
      <c r="B6" s="10">
        <v>1</v>
      </c>
      <c r="C6" s="10">
        <v>941</v>
      </c>
      <c r="D6" s="11" t="s">
        <v>16</v>
      </c>
      <c r="E6" s="30">
        <v>9</v>
      </c>
      <c r="F6" s="30">
        <v>9</v>
      </c>
      <c r="G6" s="31">
        <v>9.5</v>
      </c>
      <c r="H6" s="31">
        <v>8</v>
      </c>
      <c r="I6" s="31">
        <f>Tareas!T5</f>
        <v>0</v>
      </c>
      <c r="J6" s="31">
        <v>7.5</v>
      </c>
      <c r="K6" s="31">
        <v>10</v>
      </c>
      <c r="L6" s="28">
        <f>E6*0.09+F6*0.09+G8*0.25+H6*0.07+I6*0.2+J6*0.2+K6*0.1</f>
        <v>4.68</v>
      </c>
      <c r="M6" s="11"/>
    </row>
    <row r="7" spans="2:13">
      <c r="B7" s="10">
        <v>2</v>
      </c>
      <c r="C7" s="10">
        <v>1096</v>
      </c>
      <c r="D7" s="11" t="s">
        <v>17</v>
      </c>
      <c r="E7" s="30">
        <v>7</v>
      </c>
      <c r="F7" s="30">
        <v>7</v>
      </c>
      <c r="G7" s="31">
        <v>9.5</v>
      </c>
      <c r="H7" s="31">
        <v>5</v>
      </c>
      <c r="I7" s="31">
        <f>Tareas!T6</f>
        <v>5</v>
      </c>
      <c r="J7" s="31">
        <v>6</v>
      </c>
      <c r="K7" s="31">
        <v>10</v>
      </c>
      <c r="L7" s="28">
        <f t="shared" ref="L7:L11" si="0">E7*0.09+F7*0.09+G7*0.25+H7*0.07+I7*0.2+J7*0.2+K7*0.1</f>
        <v>7.185</v>
      </c>
      <c r="M7" s="11"/>
    </row>
    <row r="8" spans="2:13">
      <c r="B8" s="10">
        <v>3</v>
      </c>
      <c r="C8" s="10">
        <v>983</v>
      </c>
      <c r="D8" s="11" t="s">
        <v>18</v>
      </c>
      <c r="E8" s="30">
        <v>10</v>
      </c>
      <c r="F8" s="32">
        <v>10</v>
      </c>
      <c r="G8" s="31">
        <v>0</v>
      </c>
      <c r="H8" s="31">
        <v>8</v>
      </c>
      <c r="I8" s="31">
        <f>Tareas!T7</f>
        <v>0</v>
      </c>
      <c r="J8" s="31">
        <v>6.5</v>
      </c>
      <c r="K8" s="31">
        <v>10</v>
      </c>
      <c r="L8" s="28">
        <f t="shared" si="0"/>
        <v>4.66</v>
      </c>
      <c r="M8" s="11"/>
    </row>
    <row r="9" spans="2:13">
      <c r="B9" s="10">
        <v>4</v>
      </c>
      <c r="C9" s="10">
        <v>1275</v>
      </c>
      <c r="D9" s="11" t="s">
        <v>19</v>
      </c>
      <c r="E9" s="30">
        <v>6</v>
      </c>
      <c r="F9" s="32">
        <v>6</v>
      </c>
      <c r="G9" s="31">
        <v>8</v>
      </c>
      <c r="H9" s="31">
        <v>8</v>
      </c>
      <c r="I9" s="31">
        <f>Tareas!T8</f>
        <v>0</v>
      </c>
      <c r="J9" s="31">
        <v>7</v>
      </c>
      <c r="K9" s="31">
        <v>10</v>
      </c>
      <c r="L9" s="28">
        <f t="shared" si="0"/>
        <v>6.04</v>
      </c>
      <c r="M9" s="11"/>
    </row>
    <row r="10" spans="2:13">
      <c r="B10" s="10">
        <v>5</v>
      </c>
      <c r="C10" s="10">
        <v>962</v>
      </c>
      <c r="D10" s="11" t="s">
        <v>20</v>
      </c>
      <c r="E10" s="30">
        <v>7</v>
      </c>
      <c r="F10" s="30">
        <v>7</v>
      </c>
      <c r="G10" s="31">
        <v>9</v>
      </c>
      <c r="H10" s="31">
        <v>7</v>
      </c>
      <c r="I10" s="31">
        <f>Tareas!T9</f>
        <v>0</v>
      </c>
      <c r="J10" s="31">
        <v>5</v>
      </c>
      <c r="K10" s="31">
        <v>10</v>
      </c>
      <c r="L10" s="28">
        <f t="shared" si="0"/>
        <v>6</v>
      </c>
      <c r="M10" s="11"/>
    </row>
    <row r="11" spans="2:13">
      <c r="B11" s="10">
        <v>6</v>
      </c>
      <c r="C11" s="10">
        <v>894</v>
      </c>
      <c r="D11" s="11" t="s">
        <v>21</v>
      </c>
      <c r="E11" s="30">
        <v>7</v>
      </c>
      <c r="F11" s="32">
        <v>7</v>
      </c>
      <c r="G11" s="31">
        <v>10</v>
      </c>
      <c r="H11" s="31">
        <v>7</v>
      </c>
      <c r="I11" s="31">
        <f>Tareas!T10</f>
        <v>0.833333333333333</v>
      </c>
      <c r="J11" s="31">
        <v>6</v>
      </c>
      <c r="K11" s="31">
        <v>10</v>
      </c>
      <c r="L11" s="28">
        <f t="shared" si="0"/>
        <v>6.61666666666667</v>
      </c>
      <c r="M11" s="11"/>
    </row>
    <row r="12" spans="2:13">
      <c r="B12" s="33" t="s">
        <v>22</v>
      </c>
      <c r="C12" s="33"/>
      <c r="D12" s="33"/>
      <c r="E12" s="34">
        <f>AVERAGE(E6:E11)</f>
        <v>7.66666666666667</v>
      </c>
      <c r="F12" s="34">
        <f>AVERAGE(F6:F11)</f>
        <v>7.66666666666667</v>
      </c>
      <c r="G12" s="34">
        <f>AVERAGE(G7:G11)</f>
        <v>7.3</v>
      </c>
      <c r="H12" s="34">
        <f>AVERAGE(H6:H11)</f>
        <v>7.16666666666667</v>
      </c>
      <c r="I12" s="34">
        <f>AVERAGE(I6:I11)</f>
        <v>0.972222222222222</v>
      </c>
      <c r="J12" s="34">
        <f>AVERAGE(J6:J11)</f>
        <v>6.33333333333333</v>
      </c>
      <c r="K12" s="34">
        <f>AVERAGE(K6:K11)</f>
        <v>10</v>
      </c>
      <c r="L12" s="34">
        <f>AVERAGE(L6:L11)</f>
        <v>5.86361111111111</v>
      </c>
      <c r="M12" s="33"/>
    </row>
  </sheetData>
  <mergeCells count="3">
    <mergeCell ref="B2:D2"/>
    <mergeCell ref="E2:M2"/>
    <mergeCell ref="B12:D1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8"/>
  <sheetViews>
    <sheetView workbookViewId="0">
      <selection activeCell="V14" sqref="V14"/>
    </sheetView>
  </sheetViews>
  <sheetFormatPr defaultColWidth="9" defaultRowHeight="13.8"/>
  <cols>
    <col min="4" max="4" width="34.8583333333333" customWidth="1"/>
    <col min="5" max="6" width="4.28333333333333" customWidth="1"/>
    <col min="7" max="7" width="4.70833333333333" customWidth="1"/>
    <col min="8" max="9" width="4.28333333333333" customWidth="1"/>
    <col min="10" max="10" width="4.70833333333333" customWidth="1"/>
    <col min="11" max="16" width="4.28333333333333" customWidth="1"/>
    <col min="17" max="17" width="5.125" customWidth="1"/>
    <col min="18" max="19" width="5.625" customWidth="1"/>
    <col min="20" max="20" width="9.56666666666667" customWidth="1"/>
  </cols>
  <sheetData>
    <row r="2" spans="2:20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>
      <c r="B3" s="12"/>
      <c r="C3" s="12"/>
      <c r="D3" s="13" t="s">
        <v>23</v>
      </c>
      <c r="E3" s="6">
        <v>1</v>
      </c>
      <c r="F3" s="6">
        <v>2</v>
      </c>
      <c r="G3" s="6">
        <v>3</v>
      </c>
      <c r="H3" s="6">
        <v>4</v>
      </c>
      <c r="I3" s="6">
        <v>5</v>
      </c>
      <c r="J3" s="6">
        <v>6</v>
      </c>
      <c r="K3" s="6">
        <v>7</v>
      </c>
      <c r="L3" s="6">
        <v>8</v>
      </c>
      <c r="M3" s="6">
        <v>9</v>
      </c>
      <c r="N3" s="6">
        <v>10</v>
      </c>
      <c r="O3" s="6">
        <v>11</v>
      </c>
      <c r="P3" s="6">
        <v>12</v>
      </c>
      <c r="Q3" s="6">
        <v>13</v>
      </c>
      <c r="R3" s="6">
        <v>14</v>
      </c>
      <c r="S3" s="6">
        <v>15</v>
      </c>
      <c r="T3" s="6" t="s">
        <v>10</v>
      </c>
    </row>
    <row r="4" ht="97" customHeight="1" spans="2:20">
      <c r="B4" s="14" t="s">
        <v>13</v>
      </c>
      <c r="C4" s="14" t="s">
        <v>14</v>
      </c>
      <c r="D4" s="15" t="s">
        <v>15</v>
      </c>
      <c r="E4" s="16" t="s">
        <v>24</v>
      </c>
      <c r="F4" s="17" t="s">
        <v>25</v>
      </c>
      <c r="G4" s="16" t="s">
        <v>26</v>
      </c>
      <c r="H4" s="18" t="s">
        <v>27</v>
      </c>
      <c r="I4" s="21" t="s">
        <v>28</v>
      </c>
      <c r="J4" s="21" t="s">
        <v>29</v>
      </c>
      <c r="K4" s="16" t="s">
        <v>30</v>
      </c>
      <c r="L4" s="22" t="s">
        <v>31</v>
      </c>
      <c r="M4" s="23" t="s">
        <v>32</v>
      </c>
      <c r="N4" s="18" t="s">
        <v>33</v>
      </c>
      <c r="O4" s="24" t="s">
        <v>34</v>
      </c>
      <c r="P4" s="11"/>
      <c r="Q4" s="25" t="s">
        <v>35</v>
      </c>
      <c r="R4" s="26" t="s">
        <v>36</v>
      </c>
      <c r="S4" s="27" t="s">
        <v>37</v>
      </c>
      <c r="T4" s="12"/>
    </row>
    <row r="5" spans="2:20">
      <c r="B5" s="10">
        <v>1</v>
      </c>
      <c r="C5" s="10">
        <v>941</v>
      </c>
      <c r="D5" s="11" t="s">
        <v>16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28">
        <f t="shared" ref="T5:T10" si="0">AVERAGE(E5:P5)</f>
        <v>0</v>
      </c>
    </row>
    <row r="6" spans="2:21">
      <c r="B6" s="10">
        <v>2</v>
      </c>
      <c r="C6" s="10">
        <v>1096</v>
      </c>
      <c r="D6" s="11" t="s">
        <v>17</v>
      </c>
      <c r="E6" s="19">
        <v>0</v>
      </c>
      <c r="F6" s="19">
        <v>0</v>
      </c>
      <c r="G6" s="19">
        <v>0</v>
      </c>
      <c r="H6" s="19">
        <v>10</v>
      </c>
      <c r="I6" s="19">
        <v>0</v>
      </c>
      <c r="J6" s="19">
        <v>10</v>
      </c>
      <c r="K6" s="19">
        <v>10</v>
      </c>
      <c r="L6" s="19">
        <v>10</v>
      </c>
      <c r="M6" s="19">
        <v>10</v>
      </c>
      <c r="N6" s="19">
        <v>0</v>
      </c>
      <c r="O6" s="19">
        <v>10</v>
      </c>
      <c r="P6" s="19">
        <v>0</v>
      </c>
      <c r="Q6" s="19">
        <v>0</v>
      </c>
      <c r="R6" s="19">
        <v>0</v>
      </c>
      <c r="S6" s="19">
        <v>0</v>
      </c>
      <c r="T6" s="28">
        <f t="shared" si="0"/>
        <v>5</v>
      </c>
      <c r="U6" t="s">
        <v>38</v>
      </c>
    </row>
    <row r="7" spans="2:20">
      <c r="B7" s="10">
        <v>3</v>
      </c>
      <c r="C7" s="10">
        <v>983</v>
      </c>
      <c r="D7" s="11" t="s">
        <v>18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28">
        <f t="shared" si="0"/>
        <v>0</v>
      </c>
    </row>
    <row r="8" spans="2:20">
      <c r="B8" s="10">
        <v>4</v>
      </c>
      <c r="C8" s="10">
        <v>1275</v>
      </c>
      <c r="D8" s="11" t="s">
        <v>19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28">
        <f t="shared" si="0"/>
        <v>0</v>
      </c>
    </row>
    <row r="9" spans="2:20">
      <c r="B9" s="10">
        <v>5</v>
      </c>
      <c r="C9" s="10">
        <v>962</v>
      </c>
      <c r="D9" s="11" t="s">
        <v>20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28">
        <f t="shared" si="0"/>
        <v>0</v>
      </c>
    </row>
    <row r="10" spans="2:20">
      <c r="B10" s="10">
        <v>6</v>
      </c>
      <c r="C10" s="10">
        <v>894</v>
      </c>
      <c r="D10" s="11" t="s">
        <v>21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10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28">
        <f t="shared" si="0"/>
        <v>0.833333333333333</v>
      </c>
    </row>
    <row r="18" spans="5:5">
      <c r="E18" s="20"/>
    </row>
  </sheetData>
  <mergeCells count="2">
    <mergeCell ref="B2:D2"/>
    <mergeCell ref="E2:T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20" sqref="D20"/>
    </sheetView>
  </sheetViews>
  <sheetFormatPr defaultColWidth="9" defaultRowHeight="13.8" outlineLevelCol="4"/>
  <cols>
    <col min="3" max="3" width="60.25" customWidth="1"/>
    <col min="4" max="4" width="55.875" customWidth="1"/>
    <col min="5" max="5" width="122" customWidth="1"/>
  </cols>
  <sheetData>
    <row r="1" spans="1:5">
      <c r="A1" s="1" t="s">
        <v>39</v>
      </c>
      <c r="B1" s="1"/>
      <c r="C1" s="1"/>
      <c r="D1" s="2" t="s">
        <v>40</v>
      </c>
      <c r="E1" s="3"/>
    </row>
    <row r="2" spans="1:5">
      <c r="A2" s="4"/>
      <c r="B2" s="4"/>
      <c r="C2" s="5"/>
      <c r="D2" s="6" t="s">
        <v>41</v>
      </c>
      <c r="E2" s="6" t="s">
        <v>42</v>
      </c>
    </row>
    <row r="3" spans="1:5">
      <c r="A3" s="7" t="s">
        <v>13</v>
      </c>
      <c r="B3" s="7" t="s">
        <v>14</v>
      </c>
      <c r="C3" s="8" t="s">
        <v>15</v>
      </c>
      <c r="D3" s="9"/>
      <c r="E3" s="9"/>
    </row>
    <row r="4" spans="1:5">
      <c r="A4" s="10">
        <v>1</v>
      </c>
      <c r="B4" s="10">
        <v>941</v>
      </c>
      <c r="C4" s="11" t="s">
        <v>16</v>
      </c>
      <c r="D4" s="9"/>
      <c r="E4" s="9"/>
    </row>
    <row r="5" spans="1:5">
      <c r="A5" s="10">
        <v>2</v>
      </c>
      <c r="B5" s="10">
        <v>1096</v>
      </c>
      <c r="C5" s="11" t="s">
        <v>17</v>
      </c>
      <c r="D5" s="9"/>
      <c r="E5" s="9"/>
    </row>
    <row r="6" spans="1:5">
      <c r="A6" s="10">
        <v>3</v>
      </c>
      <c r="B6" s="10">
        <v>983</v>
      </c>
      <c r="C6" s="11" t="s">
        <v>18</v>
      </c>
      <c r="D6" s="9"/>
      <c r="E6" s="9"/>
    </row>
    <row r="7" spans="1:5">
      <c r="A7" s="10">
        <v>4</v>
      </c>
      <c r="B7" s="10">
        <v>1275</v>
      </c>
      <c r="C7" s="11" t="s">
        <v>19</v>
      </c>
      <c r="D7" s="9"/>
      <c r="E7" s="9"/>
    </row>
    <row r="8" spans="1:5">
      <c r="A8" s="10">
        <v>5</v>
      </c>
      <c r="B8" s="10">
        <v>962</v>
      </c>
      <c r="C8" s="11" t="s">
        <v>20</v>
      </c>
      <c r="D8" s="9"/>
      <c r="E8" s="9"/>
    </row>
    <row r="9" spans="1:5">
      <c r="A9" s="10">
        <v>6</v>
      </c>
      <c r="B9" s="10">
        <v>894</v>
      </c>
      <c r="C9" s="11" t="s">
        <v>21</v>
      </c>
      <c r="D9" s="9"/>
      <c r="E9" s="9"/>
    </row>
  </sheetData>
  <mergeCells count="2">
    <mergeCell ref="A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Calificaciones</vt:lpstr>
      <vt:lpstr>Tareas</vt:lpstr>
      <vt:lpstr>INCIDENCIAS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2025-11-14T18:07:23Z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E2B028FE6B7740B3B6C716FACCBF37EA_12</vt:lpwstr>
  </property>
  <property fmtid="{D5CDD505-2E9C-101B-9397-08002B2CF9AE}" pid="3" name="KSOProductBuildVer">
    <vt:lpwstr>2058-12.2.0.23155</vt:lpwstr>
  </property>
</Properties>
</file>