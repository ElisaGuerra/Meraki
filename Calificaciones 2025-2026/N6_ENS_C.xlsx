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tiv\Documents\Meraki\Calificaciones 2025-2026\"/>
    </mc:Choice>
  </mc:AlternateContent>
  <xr:revisionPtr revIDLastSave="0" documentId="13_ncr:1_{19466BBB-D08F-450D-B0A2-7204BA28EFD7}" xr6:coauthVersionLast="47" xr6:coauthVersionMax="47" xr10:uidLastSave="{00000000-0000-0000-0000-000000000000}"/>
  <bookViews>
    <workbookView xWindow="-120" yWindow="-120" windowWidth="29040" windowHeight="15720" xr2:uid="{B2EF7373-A7E6-423B-9BCC-817B77FBEC7D}"/>
  </bookViews>
  <sheets>
    <sheet name="Calificaciones" sheetId="3" r:id="rId1"/>
    <sheet name="Tareas" sheetId="1" r:id="rId2"/>
    <sheet name="Cuaderno" sheetId="4" r:id="rId3"/>
    <sheet name="Libro 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5" l="1"/>
  <c r="J7" i="3" s="1"/>
  <c r="AC9" i="5"/>
  <c r="J8" i="3" s="1"/>
  <c r="AC10" i="5"/>
  <c r="J9" i="3" s="1"/>
  <c r="AC11" i="5"/>
  <c r="AC12" i="5"/>
  <c r="AC13" i="5"/>
  <c r="J12" i="3" s="1"/>
  <c r="AC14" i="5"/>
  <c r="J13" i="3" s="1"/>
  <c r="AC15" i="5"/>
  <c r="AC16" i="5"/>
  <c r="J15" i="3" s="1"/>
  <c r="AC17" i="5"/>
  <c r="J16" i="3" s="1"/>
  <c r="AC7" i="5"/>
  <c r="J6" i="3" s="1"/>
  <c r="J10" i="3"/>
  <c r="J11" i="3"/>
  <c r="J14" i="3"/>
  <c r="X7" i="4" l="1"/>
  <c r="X8" i="4"/>
  <c r="X9" i="4"/>
  <c r="X10" i="4"/>
  <c r="X11" i="4"/>
  <c r="X12" i="4"/>
  <c r="X13" i="4"/>
  <c r="X14" i="4"/>
  <c r="X15" i="4"/>
  <c r="X16" i="4"/>
  <c r="X6" i="4"/>
  <c r="I16" i="3"/>
  <c r="L16" i="3" s="1"/>
  <c r="T16" i="1"/>
  <c r="F17" i="3"/>
  <c r="E17" i="3"/>
  <c r="G17" i="3"/>
  <c r="H17" i="3"/>
  <c r="K17" i="3"/>
  <c r="T7" i="1"/>
  <c r="I7" i="3" s="1"/>
  <c r="L7" i="3" s="1"/>
  <c r="T8" i="1"/>
  <c r="I8" i="3" s="1"/>
  <c r="L8" i="3" s="1"/>
  <c r="T9" i="1"/>
  <c r="I9" i="3" s="1"/>
  <c r="L9" i="3" s="1"/>
  <c r="T10" i="1"/>
  <c r="I10" i="3" s="1"/>
  <c r="T11" i="1"/>
  <c r="I11" i="3" s="1"/>
  <c r="T12" i="1"/>
  <c r="I12" i="3" s="1"/>
  <c r="T13" i="1"/>
  <c r="I13" i="3" s="1"/>
  <c r="T14" i="1"/>
  <c r="I14" i="3" s="1"/>
  <c r="T15" i="1"/>
  <c r="I15" i="3" s="1"/>
  <c r="L15" i="3" s="1"/>
  <c r="T6" i="1"/>
  <c r="I6" i="3" s="1"/>
  <c r="L13" i="3" l="1"/>
  <c r="J17" i="3"/>
  <c r="L11" i="3"/>
  <c r="L14" i="3"/>
  <c r="L12" i="3"/>
  <c r="L10" i="3"/>
  <c r="L6" i="3"/>
  <c r="I17" i="3"/>
  <c r="L17" i="3" l="1"/>
</calcChain>
</file>

<file path=xl/sharedStrings.xml><?xml version="1.0" encoding="utf-8"?>
<sst xmlns="http://schemas.openxmlformats.org/spreadsheetml/2006/main" count="131" uniqueCount="74">
  <si>
    <t>No.</t>
  </si>
  <si>
    <t>Matrícula</t>
  </si>
  <si>
    <t>Nombre del Alumno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</si>
  <si>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</si>
  <si>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</si>
  <si>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</si>
  <si>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</si>
  <si>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</si>
  <si>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</si>
  <si>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</si>
  <si>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</si>
  <si>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</si>
  <si>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Porcentaje</t>
  </si>
  <si>
    <t>Concepto a Calificar</t>
  </si>
  <si>
    <t>Ética, Naturaleza y Sociedades</t>
  </si>
  <si>
    <t>Tarea</t>
  </si>
  <si>
    <t>TOTAL</t>
  </si>
  <si>
    <t>Almanza Rocha Valeria Paola</t>
  </si>
  <si>
    <t>Camejo de la Torre Josue</t>
  </si>
  <si>
    <t>Chavez Escobedo Carlo</t>
  </si>
  <si>
    <t>Medina Hernandez Angela Karol</t>
  </si>
  <si>
    <t>Morales Alvarez Julia</t>
  </si>
  <si>
    <t>Rodriguez Robles Mateo</t>
  </si>
  <si>
    <t>Sanchez Pedraza Ian Alexander</t>
  </si>
  <si>
    <t>Serrano Ponce Camila Denisse</t>
  </si>
  <si>
    <t>Torres Avalos Oskar</t>
  </si>
  <si>
    <t>Venegas Delgadillo Jorge Alfonso</t>
  </si>
  <si>
    <t>Zarate Medellin Regina Noemi</t>
  </si>
  <si>
    <t>N6 PRIMARIA 6°A</t>
  </si>
  <si>
    <t>Examen diagnóstico</t>
  </si>
  <si>
    <t>Cuaderno</t>
  </si>
  <si>
    <t>Actividad</t>
  </si>
  <si>
    <t>Los seres vivos y su importancia</t>
  </si>
  <si>
    <t>Sobre la ética</t>
  </si>
  <si>
    <t>Reciclaje</t>
  </si>
  <si>
    <t>Especies endémicas</t>
  </si>
  <si>
    <t>Animales extintos</t>
  </si>
  <si>
    <t>Extinción</t>
  </si>
  <si>
    <t>Reflexión video National Geographic</t>
  </si>
  <si>
    <t>Collage de los patrimonios naturales de México</t>
  </si>
  <si>
    <t>Extinción masiva</t>
  </si>
  <si>
    <t>Poster medio ambiente</t>
  </si>
  <si>
    <t>Principales fuentes de agua en México</t>
  </si>
  <si>
    <t>Resolución de conflictos</t>
  </si>
  <si>
    <t>Empresas que más contaminan el agua en México</t>
  </si>
  <si>
    <t>Equidad para todods</t>
  </si>
  <si>
    <t>Diferencia entre equidad e igualdad</t>
  </si>
  <si>
    <t> ¿Qué es la igualdad de género?</t>
  </si>
  <si>
    <t>Problemas en la biodiversidad</t>
  </si>
  <si>
    <t>Los conflictos</t>
  </si>
  <si>
    <t>¿Qué es la empatía?</t>
  </si>
  <si>
    <t>Resolvemos conflictos para vivir en armonía</t>
  </si>
  <si>
    <t> Desatres naturales y atrópicos</t>
  </si>
  <si>
    <t>Prevención de desastres pt.1</t>
  </si>
  <si>
    <t>Prevención de desastres pt. 2</t>
  </si>
  <si>
    <t>Historia de la democracia</t>
  </si>
  <si>
    <t>Conmemoración de la Revolución Mexicana</t>
  </si>
  <si>
    <t>EL proyecto fue la Conmemoración de la Revolución Mexicana</t>
  </si>
  <si>
    <t>Lección 27. Así funciona la democracia</t>
  </si>
  <si>
    <t>Valoro la Democracia y su historia</t>
  </si>
  <si>
    <t>Objeto con materiales reciclados</t>
  </si>
  <si>
    <t>Conservar y cuidar el medio ambiente</t>
  </si>
  <si>
    <t>Ecosistemas que existen en México</t>
  </si>
  <si>
    <t>Otros animales extintos</t>
  </si>
  <si>
    <t>Cartulina, colores o plumones</t>
  </si>
  <si>
    <t>Páginas</t>
  </si>
  <si>
    <t>Protegiendo la biodiversidad: un deber de todos</t>
  </si>
  <si>
    <t>C1</t>
  </si>
  <si>
    <t>Entre todos cuidamos el agua</t>
  </si>
  <si>
    <t>C2</t>
  </si>
  <si>
    <t>La conservación de la diversidad es responsabilidad de todos</t>
  </si>
  <si>
    <t>C3</t>
  </si>
  <si>
    <t>Prevención de Desastres</t>
  </si>
  <si>
    <t>Valoro la democracia y su historia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</si>
</sst>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textRotation="90" wrapText="1"/>
    </xf>
    <xf numFmtId="0" fontId="1" fillId="2" borderId="3" xfId="0" applyFont="1" applyFill="1" applyBorder="1" applyAlignment="1">
      <alignment horizontal="center" vertical="center" textRotation="90" wrapText="1"/>
    </xf>
    <xf numFmtId="0" fontId="1" fillId="2" borderId="4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F9521-3E5C-4485-A0EE-99CC705EEB69}">
  <dimension ref="B2:M19"/>
  <sheetViews>
    <sheetView tabSelected="1" workbookViewId="0">
      <selection activeCell="M25" sqref="M25"/>
    </sheetView>
  </sheetViews>
  <sheetFormatPr baseColWidth="10" defaultColWidth="9.140625" defaultRowHeight="15" x14ac:dyDescent="0.25"/>
  <cols>
    <col min="4" max="4" width="34.85546875" bestFit="1" customWidth="1"/>
    <col min="5" max="6" width="9.28515625" bestFit="1" customWidth="1"/>
    <col min="7" max="7" width="17.5703125" bestFit="1" customWidth="1"/>
    <col min="8" max="8" width="10" bestFit="1" customWidth="1"/>
    <col min="9" max="9" width="6.85546875" bestFit="1" customWidth="1"/>
    <col min="10" max="10" width="14.140625" bestFit="1" customWidth="1"/>
    <col min="11" max="11" width="8.5703125" bestFit="1" customWidth="1"/>
    <col min="12" max="12" width="9.5703125" bestFit="1" customWidth="1"/>
    <col min="13" max="13" width="29.85546875" bestFit="1" customWidth="1"/>
  </cols>
  <sheetData>
    <row r="2" spans="2:13" x14ac:dyDescent="0.25">
      <c r="B2" s="19" t="s">
        <v>28</v>
      </c>
      <c r="C2" s="19"/>
      <c r="D2" s="19"/>
      <c r="E2" s="19" t="s">
        <v>14</v>
      </c>
      <c r="F2" s="19"/>
      <c r="G2" s="19"/>
      <c r="H2" s="19"/>
      <c r="I2" s="19"/>
      <c r="J2" s="19"/>
      <c r="K2" s="19"/>
      <c r="L2" s="19"/>
      <c r="M2" s="19"/>
    </row>
    <row r="3" spans="2:13" x14ac:dyDescent="0.25">
      <c r="B3" s="6"/>
      <c r="C3" s="6"/>
      <c r="D3" s="7" t="s">
        <v>13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pans="2:13" x14ac:dyDescent="0.25">
      <c r="B4" s="1"/>
      <c r="C4" s="1"/>
      <c r="D4" s="1" t="s">
        <v>12</v>
      </c>
      <c r="E4" s="4">
        <v>0.09</v>
      </c>
      <c r="F4" s="4">
        <v>0.09</v>
      </c>
      <c r="G4" s="4">
        <v>0.25</v>
      </c>
      <c r="H4" s="4">
        <v>7.0000000000000007E-2</v>
      </c>
      <c r="I4" s="4">
        <v>0.2</v>
      </c>
      <c r="J4" s="4">
        <v>0.2</v>
      </c>
      <c r="K4" s="4">
        <v>0.1</v>
      </c>
      <c r="L4" s="6"/>
      <c r="M4" s="1"/>
    </row>
    <row r="5" spans="2:13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6"/>
      <c r="M5" s="1"/>
    </row>
    <row r="6" spans="2:13" x14ac:dyDescent="0.25">
      <c r="B6" s="5">
        <v>1</v>
      </c>
      <c r="C6" s="5">
        <v>1044</v>
      </c>
      <c r="D6" s="1" t="s">
        <v>17</v>
      </c>
      <c r="E6" s="9">
        <v>10</v>
      </c>
      <c r="F6" s="9">
        <v>6</v>
      </c>
      <c r="G6" s="9">
        <v>0</v>
      </c>
      <c r="H6" s="9">
        <v>0</v>
      </c>
      <c r="I6" s="9">
        <f>Tareas!T6</f>
        <v>0</v>
      </c>
      <c r="J6" s="9">
        <f>Cuaderno!X6*0.5 + 'Libro 1'!AC7*0.5</f>
        <v>5</v>
      </c>
      <c r="K6" s="9">
        <v>0</v>
      </c>
      <c r="L6" s="10">
        <f xml:space="preserve"> E6*0.09 + F6*0.09 + G8*0.25 + H6*0.07 + I6*0.2 + J6*0.2 + K6*0.1</f>
        <v>2.44</v>
      </c>
      <c r="M6" s="1"/>
    </row>
    <row r="7" spans="2:13" x14ac:dyDescent="0.25">
      <c r="B7" s="5">
        <v>2</v>
      </c>
      <c r="C7" s="5">
        <v>879</v>
      </c>
      <c r="D7" s="1" t="s">
        <v>18</v>
      </c>
      <c r="E7" s="9">
        <v>10</v>
      </c>
      <c r="F7" s="9">
        <v>9</v>
      </c>
      <c r="G7" s="9">
        <v>0</v>
      </c>
      <c r="H7" s="9">
        <v>0</v>
      </c>
      <c r="I7" s="9">
        <f>Tareas!T7</f>
        <v>0</v>
      </c>
      <c r="J7" s="9">
        <f>Cuaderno!X7*0.5 + 'Libro 1'!AC8*0.5</f>
        <v>5</v>
      </c>
      <c r="K7" s="9">
        <v>0</v>
      </c>
      <c r="L7" s="10">
        <f t="shared" ref="L7:L15" si="0" xml:space="preserve"> E7*0.09 + F7*0.09 + G7*0.25 + H7*0.07 + I7*0.2 + J7*0.2 + K7*0.1</f>
        <v>2.71</v>
      </c>
      <c r="M7" s="1"/>
    </row>
    <row r="8" spans="2:13" x14ac:dyDescent="0.25">
      <c r="B8" s="5">
        <v>3</v>
      </c>
      <c r="C8" s="5">
        <v>1052</v>
      </c>
      <c r="D8" s="1" t="s">
        <v>19</v>
      </c>
      <c r="E8" s="9">
        <v>7</v>
      </c>
      <c r="F8" s="9">
        <v>8</v>
      </c>
      <c r="G8" s="9">
        <v>0</v>
      </c>
      <c r="H8" s="9">
        <v>0</v>
      </c>
      <c r="I8" s="9">
        <f>Tareas!T8</f>
        <v>0</v>
      </c>
      <c r="J8" s="9">
        <f>Cuaderno!X8*0.5 + 'Libro 1'!AC9*0.5</f>
        <v>5</v>
      </c>
      <c r="K8" s="9">
        <v>0</v>
      </c>
      <c r="L8" s="10">
        <f t="shared" si="0"/>
        <v>2.35</v>
      </c>
      <c r="M8" s="1"/>
    </row>
    <row r="9" spans="2:13" x14ac:dyDescent="0.25">
      <c r="B9" s="5">
        <v>4</v>
      </c>
      <c r="C9" s="5">
        <v>1114</v>
      </c>
      <c r="D9" s="1" t="s">
        <v>20</v>
      </c>
      <c r="E9" s="13">
        <v>0</v>
      </c>
      <c r="F9" s="9">
        <v>7</v>
      </c>
      <c r="G9" s="9">
        <v>0</v>
      </c>
      <c r="H9" s="9">
        <v>0</v>
      </c>
      <c r="I9" s="9">
        <f>Tareas!T9</f>
        <v>0</v>
      </c>
      <c r="J9" s="9">
        <f>Cuaderno!X9*0.5 + 'Libro 1'!AC10*0.5</f>
        <v>5</v>
      </c>
      <c r="K9" s="9">
        <v>0</v>
      </c>
      <c r="L9" s="10">
        <f t="shared" si="0"/>
        <v>1.63</v>
      </c>
      <c r="M9" s="1"/>
    </row>
    <row r="10" spans="2:13" x14ac:dyDescent="0.25">
      <c r="B10" s="5">
        <v>5</v>
      </c>
      <c r="C10" s="5">
        <v>900</v>
      </c>
      <c r="D10" s="1" t="s">
        <v>21</v>
      </c>
      <c r="E10" s="9">
        <v>9</v>
      </c>
      <c r="F10" s="9">
        <v>9</v>
      </c>
      <c r="G10" s="9">
        <v>0</v>
      </c>
      <c r="H10" s="9">
        <v>0</v>
      </c>
      <c r="I10" s="9">
        <f>Tareas!T10</f>
        <v>0</v>
      </c>
      <c r="J10" s="9">
        <f>Cuaderno!X10*0.5 + 'Libro 1'!AC11*0.5</f>
        <v>5</v>
      </c>
      <c r="K10" s="9">
        <v>0</v>
      </c>
      <c r="L10" s="10">
        <f t="shared" si="0"/>
        <v>2.62</v>
      </c>
      <c r="M10" s="1"/>
    </row>
    <row r="11" spans="2:13" x14ac:dyDescent="0.25">
      <c r="B11" s="5">
        <v>6</v>
      </c>
      <c r="C11" s="5">
        <v>1058</v>
      </c>
      <c r="D11" s="1" t="s">
        <v>22</v>
      </c>
      <c r="E11" s="9">
        <v>8</v>
      </c>
      <c r="F11" s="9">
        <v>9</v>
      </c>
      <c r="G11" s="9">
        <v>0</v>
      </c>
      <c r="H11" s="9">
        <v>0</v>
      </c>
      <c r="I11" s="9">
        <f>Tareas!T11</f>
        <v>0</v>
      </c>
      <c r="J11" s="9">
        <f>Cuaderno!X11*0.5 + 'Libro 1'!AC12*0.5</f>
        <v>5</v>
      </c>
      <c r="K11" s="9">
        <v>0</v>
      </c>
      <c r="L11" s="10">
        <f t="shared" si="0"/>
        <v>2.5299999999999998</v>
      </c>
      <c r="M11" s="1"/>
    </row>
    <row r="12" spans="2:13" x14ac:dyDescent="0.25">
      <c r="B12" s="5">
        <v>7</v>
      </c>
      <c r="C12" s="5">
        <v>1018</v>
      </c>
      <c r="D12" s="1" t="s">
        <v>23</v>
      </c>
      <c r="E12" s="9">
        <v>6</v>
      </c>
      <c r="F12" s="9">
        <v>8</v>
      </c>
      <c r="G12" s="9">
        <v>0</v>
      </c>
      <c r="H12" s="9">
        <v>0</v>
      </c>
      <c r="I12" s="9">
        <f>Tareas!T12</f>
        <v>0</v>
      </c>
      <c r="J12" s="9">
        <f>Cuaderno!X12*0.5 + 'Libro 1'!AC13*0.5</f>
        <v>5</v>
      </c>
      <c r="K12" s="9">
        <v>0</v>
      </c>
      <c r="L12" s="10">
        <f t="shared" si="0"/>
        <v>2.2599999999999998</v>
      </c>
      <c r="M12" s="1"/>
    </row>
    <row r="13" spans="2:13" x14ac:dyDescent="0.25">
      <c r="B13" s="5">
        <v>8</v>
      </c>
      <c r="C13" s="5">
        <v>714</v>
      </c>
      <c r="D13" s="1" t="s">
        <v>24</v>
      </c>
      <c r="E13" s="9">
        <v>10</v>
      </c>
      <c r="F13" s="9">
        <v>9</v>
      </c>
      <c r="G13" s="9">
        <v>0</v>
      </c>
      <c r="H13" s="9">
        <v>0</v>
      </c>
      <c r="I13" s="9">
        <f>Tareas!T13</f>
        <v>0</v>
      </c>
      <c r="J13" s="9">
        <f>Cuaderno!X13*0.5 + 'Libro 1'!AC14*0.5</f>
        <v>5</v>
      </c>
      <c r="K13" s="9">
        <v>0</v>
      </c>
      <c r="L13" s="10">
        <f t="shared" si="0"/>
        <v>2.71</v>
      </c>
      <c r="M13" s="1"/>
    </row>
    <row r="14" spans="2:13" x14ac:dyDescent="0.25">
      <c r="B14" s="5">
        <v>9</v>
      </c>
      <c r="C14" s="5">
        <v>1010</v>
      </c>
      <c r="D14" s="1" t="s">
        <v>25</v>
      </c>
      <c r="E14" s="9">
        <v>8</v>
      </c>
      <c r="F14" s="9">
        <v>10</v>
      </c>
      <c r="G14" s="9">
        <v>0</v>
      </c>
      <c r="H14" s="9">
        <v>10</v>
      </c>
      <c r="I14" s="9">
        <f>Tareas!T14</f>
        <v>6</v>
      </c>
      <c r="J14" s="9">
        <f>Cuaderno!X14*0.5 + 'Libro 1'!AC15*0.5</f>
        <v>9.7368421052631575</v>
      </c>
      <c r="K14" s="9">
        <v>10</v>
      </c>
      <c r="L14" s="10">
        <f t="shared" si="0"/>
        <v>6.4673684210526314</v>
      </c>
      <c r="M14" s="1"/>
    </row>
    <row r="15" spans="2:13" x14ac:dyDescent="0.25">
      <c r="B15" s="5">
        <v>10</v>
      </c>
      <c r="C15" s="5">
        <v>1211</v>
      </c>
      <c r="D15" s="1" t="s">
        <v>26</v>
      </c>
      <c r="E15" s="13">
        <v>0</v>
      </c>
      <c r="F15" s="13">
        <v>0</v>
      </c>
      <c r="G15" s="9">
        <v>0</v>
      </c>
      <c r="H15" s="9">
        <v>0</v>
      </c>
      <c r="I15" s="9">
        <f>Tareas!T15</f>
        <v>0</v>
      </c>
      <c r="J15" s="9">
        <f>Cuaderno!X15*0.5 + 'Libro 1'!AC16*0.5</f>
        <v>5</v>
      </c>
      <c r="K15" s="9">
        <v>0</v>
      </c>
      <c r="L15" s="10">
        <f t="shared" si="0"/>
        <v>1</v>
      </c>
      <c r="M15" s="1"/>
    </row>
    <row r="16" spans="2:13" x14ac:dyDescent="0.25">
      <c r="B16" s="5">
        <v>11</v>
      </c>
      <c r="C16" s="5">
        <v>880</v>
      </c>
      <c r="D16" s="1" t="s">
        <v>27</v>
      </c>
      <c r="E16" s="9">
        <v>8</v>
      </c>
      <c r="F16" s="9">
        <v>9</v>
      </c>
      <c r="G16" s="9">
        <v>0</v>
      </c>
      <c r="H16" s="9">
        <v>0</v>
      </c>
      <c r="I16" s="9">
        <f>Tareas!T16</f>
        <v>0</v>
      </c>
      <c r="J16" s="9">
        <f>Cuaderno!X16*0.5 + 'Libro 1'!AC17*0.5</f>
        <v>5</v>
      </c>
      <c r="K16" s="9">
        <v>0</v>
      </c>
      <c r="L16" s="10">
        <f t="shared" ref="L16" si="1" xml:space="preserve"> E16*0.09 + F16*0.09 + G16*0.25 + H16*0.07 + I16*0.2 + J16*0.2 + K16*0.1</f>
        <v>2.5299999999999998</v>
      </c>
      <c r="M16" s="1"/>
    </row>
    <row r="17" spans="2:13" x14ac:dyDescent="0.25">
      <c r="B17" s="20" t="s">
        <v>16</v>
      </c>
      <c r="C17" s="21"/>
      <c r="D17" s="22"/>
      <c r="E17" s="12">
        <f>AVERAGE(E6:E16)</f>
        <v>6.9090909090909092</v>
      </c>
      <c r="F17" s="12">
        <f>AVERAGE(F6:F16)</f>
        <v>7.6363636363636367</v>
      </c>
      <c r="G17" s="12">
        <f>AVERAGE(G7:G15)</f>
        <v>0</v>
      </c>
      <c r="H17" s="12">
        <f t="shared" ref="H17:L17" si="2">AVERAGE(H6:H15)</f>
        <v>1</v>
      </c>
      <c r="I17" s="12">
        <f t="shared" si="2"/>
        <v>0.6</v>
      </c>
      <c r="J17" s="12">
        <f t="shared" si="2"/>
        <v>5.4736842105263159</v>
      </c>
      <c r="K17" s="12">
        <f t="shared" si="2"/>
        <v>1</v>
      </c>
      <c r="L17" s="12">
        <f t="shared" si="2"/>
        <v>2.6717368421052634</v>
      </c>
      <c r="M17" s="11"/>
    </row>
    <row r="19" spans="2:13" x14ac:dyDescent="0.25">
      <c r="B19" s="28" t="s">
        <v>9</v>
      </c>
      <c r="C19" s="28"/>
      <c r="D19" s="27" t="s">
        <v>57</v>
      </c>
      <c r="E19" s="27"/>
      <c r="F19" s="27"/>
      <c r="G19" s="27"/>
      <c r="H19" s="27"/>
      <c r="I19" s="27"/>
      <c r="J19" s="27"/>
      <c r="K19" s="27"/>
      <c r="L19" s="27"/>
      <c r="M19" s="27"/>
    </row>
  </sheetData>
  <mergeCells count="5">
    <mergeCell ref="B2:D2"/>
    <mergeCell ref="E2:M2"/>
    <mergeCell ref="B17:D17"/>
    <mergeCell ref="D19:M19"/>
    <mergeCell ref="B19:C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8BC0-6E16-496A-96B3-BD682E639AA1}">
  <dimension ref="B2:T16"/>
  <sheetViews>
    <sheetView zoomScale="115" zoomScaleNormal="115" workbookViewId="0">
      <selection activeCell="W11" sqref="W11"/>
    </sheetView>
  </sheetViews>
  <sheetFormatPr baseColWidth="10" defaultColWidth="9.140625" defaultRowHeight="15" x14ac:dyDescent="0.25"/>
  <cols>
    <col min="4" max="4" width="34.85546875" bestFit="1" customWidth="1"/>
    <col min="5" max="7" width="6.7109375" bestFit="1" customWidth="1"/>
    <col min="8" max="8" width="9.42578125" bestFit="1" customWidth="1"/>
    <col min="9" max="9" width="5" bestFit="1" customWidth="1"/>
    <col min="10" max="10" width="6.5703125" bestFit="1" customWidth="1"/>
    <col min="11" max="11" width="4.28515625" customWidth="1"/>
    <col min="12" max="12" width="6.7109375" bestFit="1" customWidth="1"/>
    <col min="13" max="13" width="6.5703125" bestFit="1" customWidth="1"/>
    <col min="14" max="14" width="9.42578125" bestFit="1" customWidth="1"/>
    <col min="15" max="16" width="6.5703125" bestFit="1" customWidth="1"/>
    <col min="17" max="17" width="5" bestFit="1" customWidth="1"/>
    <col min="18" max="18" width="6.5703125" bestFit="1" customWidth="1"/>
    <col min="19" max="20" width="9.5703125" bestFit="1" customWidth="1"/>
  </cols>
  <sheetData>
    <row r="2" spans="2:20" x14ac:dyDescent="0.25">
      <c r="B2" s="19" t="s">
        <v>28</v>
      </c>
      <c r="C2" s="19"/>
      <c r="D2" s="19"/>
      <c r="E2" s="19" t="s">
        <v>14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spans="2:20" ht="116.25" customHeight="1" x14ac:dyDescent="0.25">
      <c r="B3" s="24"/>
      <c r="C3" s="24"/>
      <c r="D3" s="24"/>
      <c r="E3" s="14" t="s">
        <v>60</v>
      </c>
      <c r="F3" s="14" t="s">
        <v>61</v>
      </c>
      <c r="G3" s="14" t="s">
        <v>62</v>
      </c>
      <c r="H3" s="14" t="s">
        <v>39</v>
      </c>
      <c r="I3" s="14" t="s">
        <v>36</v>
      </c>
      <c r="J3" s="14" t="s">
        <v>38</v>
      </c>
      <c r="K3" s="14" t="s">
        <v>63</v>
      </c>
      <c r="L3" s="14" t="s">
        <v>64</v>
      </c>
      <c r="M3" s="14" t="s">
        <v>42</v>
      </c>
      <c r="N3" s="14" t="s">
        <v>44</v>
      </c>
      <c r="O3" s="14" t="s">
        <v>46</v>
      </c>
      <c r="P3" s="14" t="s">
        <v>47</v>
      </c>
      <c r="Q3" s="14" t="s">
        <v>50</v>
      </c>
      <c r="R3" s="14" t="s">
        <v>52</v>
      </c>
      <c r="S3" s="14" t="s">
        <v>58</v>
      </c>
      <c r="T3" s="24"/>
    </row>
    <row r="4" spans="2:20" x14ac:dyDescent="0.25">
      <c r="B4" s="6"/>
      <c r="C4" s="6"/>
      <c r="D4" s="7" t="s">
        <v>15</v>
      </c>
      <c r="E4" s="8">
        <v>1</v>
      </c>
      <c r="F4" s="8">
        <v>2</v>
      </c>
      <c r="G4" s="8">
        <v>3</v>
      </c>
      <c r="H4" s="8">
        <v>4</v>
      </c>
      <c r="I4" s="8">
        <v>5</v>
      </c>
      <c r="J4" s="8">
        <v>6</v>
      </c>
      <c r="K4" s="8">
        <v>7</v>
      </c>
      <c r="L4" s="8">
        <v>8</v>
      </c>
      <c r="M4" s="8">
        <v>9</v>
      </c>
      <c r="N4" s="8">
        <v>10</v>
      </c>
      <c r="O4" s="8">
        <v>11</v>
      </c>
      <c r="P4" s="8">
        <v>12</v>
      </c>
      <c r="Q4" s="8">
        <v>13</v>
      </c>
      <c r="R4" s="8">
        <v>14</v>
      </c>
      <c r="S4" s="8">
        <v>15</v>
      </c>
      <c r="T4" s="8" t="s">
        <v>10</v>
      </c>
    </row>
    <row r="5" spans="2:20" x14ac:dyDescent="0.25">
      <c r="B5" s="3" t="s">
        <v>0</v>
      </c>
      <c r="C5" s="3" t="s">
        <v>1</v>
      </c>
      <c r="D5" s="2" t="s">
        <v>2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6"/>
    </row>
    <row r="6" spans="2:20" x14ac:dyDescent="0.25">
      <c r="B6" s="5">
        <v>1</v>
      </c>
      <c r="C6" s="5">
        <v>1044</v>
      </c>
      <c r="D6" s="1" t="s">
        <v>17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0</v>
      </c>
      <c r="T6" s="10">
        <f t="shared" ref="T6:T16" si="0">AVERAGE(E6:S6)</f>
        <v>0</v>
      </c>
    </row>
    <row r="7" spans="2:20" x14ac:dyDescent="0.25">
      <c r="B7" s="5">
        <v>2</v>
      </c>
      <c r="C7" s="5">
        <v>879</v>
      </c>
      <c r="D7" s="1" t="s">
        <v>18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0</v>
      </c>
      <c r="Q7" s="23">
        <v>0</v>
      </c>
      <c r="R7" s="23">
        <v>0</v>
      </c>
      <c r="S7" s="23">
        <v>0</v>
      </c>
      <c r="T7" s="10">
        <f t="shared" si="0"/>
        <v>0</v>
      </c>
    </row>
    <row r="8" spans="2:20" x14ac:dyDescent="0.25">
      <c r="B8" s="5">
        <v>3</v>
      </c>
      <c r="C8" s="5">
        <v>1052</v>
      </c>
      <c r="D8" s="1" t="s">
        <v>19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10">
        <f t="shared" si="0"/>
        <v>0</v>
      </c>
    </row>
    <row r="9" spans="2:20" x14ac:dyDescent="0.25">
      <c r="B9" s="5">
        <v>4</v>
      </c>
      <c r="C9" s="5">
        <v>1114</v>
      </c>
      <c r="D9" s="1" t="s">
        <v>20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10">
        <f t="shared" si="0"/>
        <v>0</v>
      </c>
    </row>
    <row r="10" spans="2:20" x14ac:dyDescent="0.25">
      <c r="B10" s="5">
        <v>5</v>
      </c>
      <c r="C10" s="5">
        <v>900</v>
      </c>
      <c r="D10" s="1" t="s">
        <v>21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10">
        <f t="shared" si="0"/>
        <v>0</v>
      </c>
    </row>
    <row r="11" spans="2:20" x14ac:dyDescent="0.25">
      <c r="B11" s="5">
        <v>6</v>
      </c>
      <c r="C11" s="5">
        <v>1058</v>
      </c>
      <c r="D11" s="1" t="s">
        <v>22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0</v>
      </c>
      <c r="Q11" s="23">
        <v>0</v>
      </c>
      <c r="R11" s="23">
        <v>0</v>
      </c>
      <c r="S11" s="23">
        <v>0</v>
      </c>
      <c r="T11" s="10">
        <f t="shared" si="0"/>
        <v>0</v>
      </c>
    </row>
    <row r="12" spans="2:20" x14ac:dyDescent="0.25">
      <c r="B12" s="5">
        <v>7</v>
      </c>
      <c r="C12" s="5">
        <v>1018</v>
      </c>
      <c r="D12" s="1" t="s">
        <v>23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0</v>
      </c>
      <c r="T12" s="10">
        <f t="shared" si="0"/>
        <v>0</v>
      </c>
    </row>
    <row r="13" spans="2:20" x14ac:dyDescent="0.25">
      <c r="B13" s="5">
        <v>8</v>
      </c>
      <c r="C13" s="5">
        <v>714</v>
      </c>
      <c r="D13" s="1" t="s">
        <v>24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23">
        <v>0</v>
      </c>
      <c r="P13" s="23">
        <v>0</v>
      </c>
      <c r="Q13" s="23">
        <v>0</v>
      </c>
      <c r="R13" s="23">
        <v>0</v>
      </c>
      <c r="S13" s="23">
        <v>0</v>
      </c>
      <c r="T13" s="10">
        <f t="shared" si="0"/>
        <v>0</v>
      </c>
    </row>
    <row r="14" spans="2:20" x14ac:dyDescent="0.25">
      <c r="B14" s="5">
        <v>9</v>
      </c>
      <c r="C14" s="5">
        <v>1010</v>
      </c>
      <c r="D14" s="1" t="s">
        <v>25</v>
      </c>
      <c r="E14" s="25">
        <v>0</v>
      </c>
      <c r="F14" s="25">
        <v>0</v>
      </c>
      <c r="G14" s="25">
        <v>0</v>
      </c>
      <c r="H14" s="25">
        <v>0</v>
      </c>
      <c r="I14" s="23">
        <v>10</v>
      </c>
      <c r="J14" s="23">
        <v>10</v>
      </c>
      <c r="K14" s="25">
        <v>0</v>
      </c>
      <c r="L14" s="25">
        <v>0</v>
      </c>
      <c r="M14" s="23">
        <v>10</v>
      </c>
      <c r="N14" s="23">
        <v>10</v>
      </c>
      <c r="O14" s="23">
        <v>10</v>
      </c>
      <c r="P14" s="23">
        <v>10</v>
      </c>
      <c r="Q14" s="23">
        <v>10</v>
      </c>
      <c r="R14" s="23">
        <v>10</v>
      </c>
      <c r="S14" s="23">
        <v>10</v>
      </c>
      <c r="T14" s="10">
        <f t="shared" si="0"/>
        <v>6</v>
      </c>
    </row>
    <row r="15" spans="2:20" x14ac:dyDescent="0.25">
      <c r="B15" s="5">
        <v>10</v>
      </c>
      <c r="C15" s="5">
        <v>1211</v>
      </c>
      <c r="D15" s="1" t="s">
        <v>26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  <c r="K15" s="23">
        <v>0</v>
      </c>
      <c r="L15" s="23">
        <v>0</v>
      </c>
      <c r="M15" s="23">
        <v>0</v>
      </c>
      <c r="N15" s="23">
        <v>0</v>
      </c>
      <c r="O15" s="23">
        <v>0</v>
      </c>
      <c r="P15" s="23">
        <v>0</v>
      </c>
      <c r="Q15" s="23">
        <v>0</v>
      </c>
      <c r="R15" s="23">
        <v>0</v>
      </c>
      <c r="S15" s="23">
        <v>0</v>
      </c>
      <c r="T15" s="10">
        <f t="shared" si="0"/>
        <v>0</v>
      </c>
    </row>
    <row r="16" spans="2:20" x14ac:dyDescent="0.25">
      <c r="B16" s="5">
        <v>11</v>
      </c>
      <c r="C16" s="5">
        <v>880</v>
      </c>
      <c r="D16" s="1" t="s">
        <v>27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  <c r="T16" s="10">
        <f t="shared" si="0"/>
        <v>0</v>
      </c>
    </row>
  </sheetData>
  <mergeCells count="2">
    <mergeCell ref="B2:D2"/>
    <mergeCell ref="E2:T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97D3-7D3F-4CD4-94FB-95772F832F4F}">
  <dimension ref="B2:AD16"/>
  <sheetViews>
    <sheetView workbookViewId="0">
      <selection activeCell="AB15" sqref="AB15"/>
    </sheetView>
  </sheetViews>
  <sheetFormatPr baseColWidth="10" defaultColWidth="9.140625" defaultRowHeight="15" x14ac:dyDescent="0.25"/>
  <cols>
    <col min="4" max="4" width="34.85546875" bestFit="1" customWidth="1"/>
    <col min="5" max="5" width="4.28515625" customWidth="1"/>
    <col min="6" max="6" width="6.5703125" bestFit="1" customWidth="1"/>
    <col min="7" max="8" width="4.5703125" bestFit="1" customWidth="1"/>
    <col min="9" max="9" width="4.28515625" customWidth="1"/>
    <col min="10" max="10" width="4.5703125" bestFit="1" customWidth="1"/>
    <col min="11" max="14" width="4.28515625" customWidth="1"/>
    <col min="15" max="15" width="6.5703125" bestFit="1" customWidth="1"/>
    <col min="16" max="16" width="4.28515625" customWidth="1"/>
    <col min="17" max="20" width="6.5703125" bestFit="1" customWidth="1"/>
    <col min="21" max="21" width="4.28515625" customWidth="1"/>
    <col min="22" max="22" width="6.5703125" bestFit="1" customWidth="1"/>
    <col min="23" max="23" width="6.5703125" customWidth="1"/>
    <col min="24" max="24" width="9.5703125" bestFit="1" customWidth="1"/>
  </cols>
  <sheetData>
    <row r="2" spans="2:30" x14ac:dyDescent="0.25">
      <c r="B2" s="19" t="s">
        <v>28</v>
      </c>
      <c r="C2" s="19"/>
      <c r="D2" s="19"/>
      <c r="E2" s="19" t="s">
        <v>14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2:30" ht="123.75" customHeight="1" x14ac:dyDescent="0.25">
      <c r="B3" s="8"/>
      <c r="C3" s="8"/>
      <c r="D3" s="15" t="s">
        <v>30</v>
      </c>
      <c r="E3" s="14" t="s">
        <v>29</v>
      </c>
      <c r="F3" s="14" t="s">
        <v>32</v>
      </c>
      <c r="G3" s="14" t="s">
        <v>33</v>
      </c>
      <c r="H3" s="14" t="s">
        <v>34</v>
      </c>
      <c r="I3" s="14" t="s">
        <v>35</v>
      </c>
      <c r="J3" s="14" t="s">
        <v>37</v>
      </c>
      <c r="K3" s="14" t="s">
        <v>40</v>
      </c>
      <c r="L3" s="14" t="s">
        <v>41</v>
      </c>
      <c r="M3" s="14" t="s">
        <v>43</v>
      </c>
      <c r="N3" s="14" t="s">
        <v>45</v>
      </c>
      <c r="O3" s="14" t="s">
        <v>48</v>
      </c>
      <c r="P3" s="14" t="s">
        <v>49</v>
      </c>
      <c r="Q3" s="14"/>
      <c r="R3" s="14" t="s">
        <v>51</v>
      </c>
      <c r="S3" s="14" t="s">
        <v>53</v>
      </c>
      <c r="T3" s="14" t="s">
        <v>54</v>
      </c>
      <c r="U3" s="14" t="s">
        <v>55</v>
      </c>
      <c r="V3" s="14" t="s">
        <v>56</v>
      </c>
      <c r="W3" s="14" t="s">
        <v>59</v>
      </c>
      <c r="X3" s="8"/>
    </row>
    <row r="4" spans="2:30" x14ac:dyDescent="0.25">
      <c r="B4" s="16"/>
      <c r="C4" s="16"/>
      <c r="D4" s="17" t="s">
        <v>31</v>
      </c>
      <c r="E4" s="16">
        <v>1</v>
      </c>
      <c r="F4" s="16">
        <v>2</v>
      </c>
      <c r="G4" s="16">
        <v>3</v>
      </c>
      <c r="H4" s="16">
        <v>4</v>
      </c>
      <c r="I4" s="16">
        <v>5</v>
      </c>
      <c r="J4" s="16">
        <v>6</v>
      </c>
      <c r="K4" s="16">
        <v>7</v>
      </c>
      <c r="L4" s="16">
        <v>8</v>
      </c>
      <c r="M4" s="16">
        <v>9</v>
      </c>
      <c r="N4" s="16">
        <v>10</v>
      </c>
      <c r="O4" s="16">
        <v>11</v>
      </c>
      <c r="P4" s="16">
        <v>12</v>
      </c>
      <c r="Q4" s="16">
        <v>13</v>
      </c>
      <c r="R4" s="16">
        <v>14</v>
      </c>
      <c r="S4" s="16">
        <v>15</v>
      </c>
      <c r="T4" s="16">
        <v>16</v>
      </c>
      <c r="U4" s="16">
        <v>17</v>
      </c>
      <c r="V4" s="16">
        <v>18</v>
      </c>
      <c r="W4" s="16">
        <v>19</v>
      </c>
      <c r="X4" s="26" t="s">
        <v>10</v>
      </c>
    </row>
    <row r="5" spans="2:30" x14ac:dyDescent="0.25">
      <c r="B5" s="3" t="s">
        <v>0</v>
      </c>
      <c r="C5" s="3" t="s">
        <v>1</v>
      </c>
      <c r="D5" s="2" t="s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6"/>
      <c r="AD5" s="18"/>
    </row>
    <row r="6" spans="2:30" x14ac:dyDescent="0.25">
      <c r="B6" s="5">
        <v>1</v>
      </c>
      <c r="C6" s="5">
        <v>1044</v>
      </c>
      <c r="D6" s="1" t="s">
        <v>17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0</v>
      </c>
      <c r="T6" s="23">
        <v>0</v>
      </c>
      <c r="U6" s="23">
        <v>0</v>
      </c>
      <c r="V6" s="23">
        <v>0</v>
      </c>
      <c r="W6" s="23">
        <v>0</v>
      </c>
      <c r="X6" s="10">
        <f>AVERAGE(E6:W6)</f>
        <v>0</v>
      </c>
    </row>
    <row r="7" spans="2:30" x14ac:dyDescent="0.25">
      <c r="B7" s="5">
        <v>2</v>
      </c>
      <c r="C7" s="5">
        <v>879</v>
      </c>
      <c r="D7" s="1" t="s">
        <v>18</v>
      </c>
      <c r="E7" s="23">
        <v>0</v>
      </c>
      <c r="F7" s="23">
        <v>0</v>
      </c>
      <c r="G7" s="23">
        <v>0</v>
      </c>
      <c r="H7" s="23">
        <v>0</v>
      </c>
      <c r="I7" s="23">
        <v>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0</v>
      </c>
      <c r="Q7" s="23">
        <v>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  <c r="X7" s="10">
        <f t="shared" ref="X7:X16" si="0">AVERAGE(E7:W7)</f>
        <v>0</v>
      </c>
    </row>
    <row r="8" spans="2:30" x14ac:dyDescent="0.25">
      <c r="B8" s="5">
        <v>3</v>
      </c>
      <c r="C8" s="5">
        <v>1052</v>
      </c>
      <c r="D8" s="1" t="s">
        <v>19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10">
        <f t="shared" si="0"/>
        <v>0</v>
      </c>
    </row>
    <row r="9" spans="2:30" x14ac:dyDescent="0.25">
      <c r="B9" s="5">
        <v>4</v>
      </c>
      <c r="C9" s="5">
        <v>1114</v>
      </c>
      <c r="D9" s="1" t="s">
        <v>20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10">
        <f t="shared" si="0"/>
        <v>0</v>
      </c>
    </row>
    <row r="10" spans="2:30" x14ac:dyDescent="0.25">
      <c r="B10" s="5">
        <v>5</v>
      </c>
      <c r="C10" s="5">
        <v>900</v>
      </c>
      <c r="D10" s="1" t="s">
        <v>21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10">
        <f t="shared" si="0"/>
        <v>0</v>
      </c>
    </row>
    <row r="11" spans="2:30" x14ac:dyDescent="0.25">
      <c r="B11" s="5">
        <v>6</v>
      </c>
      <c r="C11" s="5">
        <v>1058</v>
      </c>
      <c r="D11" s="1" t="s">
        <v>22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0</v>
      </c>
      <c r="Q11" s="23">
        <v>0</v>
      </c>
      <c r="R11" s="23">
        <v>0</v>
      </c>
      <c r="S11" s="23">
        <v>0</v>
      </c>
      <c r="T11" s="23">
        <v>0</v>
      </c>
      <c r="U11" s="23">
        <v>0</v>
      </c>
      <c r="V11" s="23">
        <v>0</v>
      </c>
      <c r="W11" s="23">
        <v>0</v>
      </c>
      <c r="X11" s="10">
        <f t="shared" si="0"/>
        <v>0</v>
      </c>
    </row>
    <row r="12" spans="2:30" x14ac:dyDescent="0.25">
      <c r="B12" s="5">
        <v>7</v>
      </c>
      <c r="C12" s="5">
        <v>1018</v>
      </c>
      <c r="D12" s="1" t="s">
        <v>23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0</v>
      </c>
      <c r="T12" s="23">
        <v>0</v>
      </c>
      <c r="U12" s="23">
        <v>0</v>
      </c>
      <c r="V12" s="23">
        <v>0</v>
      </c>
      <c r="W12" s="23">
        <v>0</v>
      </c>
      <c r="X12" s="10">
        <f t="shared" si="0"/>
        <v>0</v>
      </c>
    </row>
    <row r="13" spans="2:30" x14ac:dyDescent="0.25">
      <c r="B13" s="5">
        <v>8</v>
      </c>
      <c r="C13" s="5">
        <v>714</v>
      </c>
      <c r="D13" s="1" t="s">
        <v>24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23">
        <v>0</v>
      </c>
      <c r="P13" s="23">
        <v>0</v>
      </c>
      <c r="Q13" s="23">
        <v>0</v>
      </c>
      <c r="R13" s="23">
        <v>0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10">
        <f t="shared" si="0"/>
        <v>0</v>
      </c>
    </row>
    <row r="14" spans="2:30" x14ac:dyDescent="0.25">
      <c r="B14" s="5">
        <v>9</v>
      </c>
      <c r="C14" s="5">
        <v>1010</v>
      </c>
      <c r="D14" s="1" t="s">
        <v>25</v>
      </c>
      <c r="E14" s="23">
        <v>10</v>
      </c>
      <c r="F14" s="23">
        <v>10</v>
      </c>
      <c r="G14" s="23">
        <v>10</v>
      </c>
      <c r="H14" s="23">
        <v>10</v>
      </c>
      <c r="I14" s="23">
        <v>10</v>
      </c>
      <c r="J14" s="23">
        <v>10</v>
      </c>
      <c r="K14" s="23">
        <v>10</v>
      </c>
      <c r="L14" s="23">
        <v>10</v>
      </c>
      <c r="M14" s="23">
        <v>10</v>
      </c>
      <c r="N14" s="23">
        <v>10</v>
      </c>
      <c r="O14" s="23">
        <v>10</v>
      </c>
      <c r="P14" s="23">
        <v>10</v>
      </c>
      <c r="Q14" s="25">
        <v>0</v>
      </c>
      <c r="R14" s="23">
        <v>10</v>
      </c>
      <c r="S14" s="23">
        <v>10</v>
      </c>
      <c r="T14" s="23">
        <v>10</v>
      </c>
      <c r="U14" s="23">
        <v>10</v>
      </c>
      <c r="V14" s="23">
        <v>10</v>
      </c>
      <c r="W14" s="23">
        <v>10</v>
      </c>
      <c r="X14" s="10">
        <f t="shared" si="0"/>
        <v>9.473684210526315</v>
      </c>
    </row>
    <row r="15" spans="2:30" x14ac:dyDescent="0.25">
      <c r="B15" s="5">
        <v>10</v>
      </c>
      <c r="C15" s="5">
        <v>1211</v>
      </c>
      <c r="D15" s="1" t="s">
        <v>26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0</v>
      </c>
      <c r="K15" s="23">
        <v>0</v>
      </c>
      <c r="L15" s="23">
        <v>0</v>
      </c>
      <c r="M15" s="23">
        <v>0</v>
      </c>
      <c r="N15" s="23">
        <v>0</v>
      </c>
      <c r="O15" s="23">
        <v>0</v>
      </c>
      <c r="P15" s="23">
        <v>0</v>
      </c>
      <c r="Q15" s="23">
        <v>0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10">
        <f t="shared" si="0"/>
        <v>0</v>
      </c>
    </row>
    <row r="16" spans="2:30" x14ac:dyDescent="0.25">
      <c r="B16" s="5">
        <v>11</v>
      </c>
      <c r="C16" s="5">
        <v>880</v>
      </c>
      <c r="D16" s="1" t="s">
        <v>27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10">
        <f t="shared" si="0"/>
        <v>0</v>
      </c>
    </row>
  </sheetData>
  <mergeCells count="2">
    <mergeCell ref="B2:D2"/>
    <mergeCell ref="E2:X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97FFF-634C-4AE5-AEAE-2CBCA40BCAD3}">
  <dimension ref="B2:AI17"/>
  <sheetViews>
    <sheetView workbookViewId="0">
      <selection activeCell="AF16" sqref="AF16"/>
    </sheetView>
  </sheetViews>
  <sheetFormatPr baseColWidth="10" defaultColWidth="9.140625" defaultRowHeight="15" x14ac:dyDescent="0.25"/>
  <cols>
    <col min="4" max="4" width="34.85546875" bestFit="1" customWidth="1"/>
    <col min="5" max="28" width="4.28515625" customWidth="1"/>
    <col min="29" max="29" width="9.5703125" bestFit="1" customWidth="1"/>
  </cols>
  <sheetData>
    <row r="2" spans="2:35" x14ac:dyDescent="0.25">
      <c r="B2" s="19" t="s">
        <v>28</v>
      </c>
      <c r="C2" s="19"/>
      <c r="D2" s="19"/>
      <c r="E2" s="19" t="s">
        <v>14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</row>
    <row r="3" spans="2:35" ht="123.75" customHeight="1" x14ac:dyDescent="0.25">
      <c r="B3" s="8"/>
      <c r="C3" s="8"/>
      <c r="D3" s="15" t="s">
        <v>30</v>
      </c>
      <c r="E3" s="29" t="s">
        <v>66</v>
      </c>
      <c r="F3" s="30"/>
      <c r="G3" s="30"/>
      <c r="H3" s="31"/>
      <c r="I3" s="29" t="s">
        <v>68</v>
      </c>
      <c r="J3" s="30"/>
      <c r="K3" s="30"/>
      <c r="L3" s="31"/>
      <c r="M3" s="29" t="s">
        <v>70</v>
      </c>
      <c r="N3" s="30"/>
      <c r="O3" s="30"/>
      <c r="P3" s="31"/>
      <c r="Q3" s="29" t="s">
        <v>51</v>
      </c>
      <c r="R3" s="30"/>
      <c r="S3" s="30"/>
      <c r="T3" s="31"/>
      <c r="U3" s="29" t="s">
        <v>72</v>
      </c>
      <c r="V3" s="30"/>
      <c r="W3" s="30"/>
      <c r="X3" s="31"/>
      <c r="Y3" s="29" t="s">
        <v>73</v>
      </c>
      <c r="Z3" s="30"/>
      <c r="AA3" s="30"/>
      <c r="AB3" s="31"/>
      <c r="AC3" s="8"/>
    </row>
    <row r="4" spans="2:35" ht="16.5" customHeight="1" x14ac:dyDescent="0.25">
      <c r="B4" s="8"/>
      <c r="C4" s="8"/>
      <c r="D4" s="15"/>
      <c r="E4" s="32" t="s">
        <v>67</v>
      </c>
      <c r="F4" s="33"/>
      <c r="G4" s="33"/>
      <c r="H4" s="34"/>
      <c r="I4" s="32" t="s">
        <v>67</v>
      </c>
      <c r="J4" s="33"/>
      <c r="K4" s="33"/>
      <c r="L4" s="34"/>
      <c r="M4" s="32" t="s">
        <v>69</v>
      </c>
      <c r="N4" s="33"/>
      <c r="O4" s="33"/>
      <c r="P4" s="34"/>
      <c r="Q4" s="32" t="s">
        <v>69</v>
      </c>
      <c r="R4" s="33"/>
      <c r="S4" s="33"/>
      <c r="T4" s="34"/>
      <c r="U4" s="32" t="s">
        <v>71</v>
      </c>
      <c r="V4" s="33"/>
      <c r="W4" s="33"/>
      <c r="X4" s="34"/>
      <c r="Y4" s="32" t="s">
        <v>71</v>
      </c>
      <c r="Z4" s="33"/>
      <c r="AA4" s="33"/>
      <c r="AB4" s="34"/>
      <c r="AC4" s="8"/>
    </row>
    <row r="5" spans="2:35" x14ac:dyDescent="0.25">
      <c r="B5" s="16"/>
      <c r="C5" s="16"/>
      <c r="D5" s="17" t="s">
        <v>65</v>
      </c>
      <c r="E5" s="16">
        <v>56</v>
      </c>
      <c r="F5" s="16">
        <v>57</v>
      </c>
      <c r="G5" s="16">
        <v>58</v>
      </c>
      <c r="H5" s="16">
        <v>59</v>
      </c>
      <c r="I5" s="16">
        <v>60</v>
      </c>
      <c r="J5" s="16">
        <v>61</v>
      </c>
      <c r="K5" s="16">
        <v>62</v>
      </c>
      <c r="L5" s="16">
        <v>63</v>
      </c>
      <c r="M5" s="16">
        <v>24</v>
      </c>
      <c r="N5" s="16">
        <v>25</v>
      </c>
      <c r="O5" s="16">
        <v>26</v>
      </c>
      <c r="P5" s="16">
        <v>27</v>
      </c>
      <c r="Q5" s="16">
        <v>28</v>
      </c>
      <c r="R5" s="16">
        <v>29</v>
      </c>
      <c r="S5" s="16">
        <v>30</v>
      </c>
      <c r="T5" s="16">
        <v>31</v>
      </c>
      <c r="U5" s="16">
        <v>24</v>
      </c>
      <c r="V5" s="16">
        <v>25</v>
      </c>
      <c r="W5" s="16">
        <v>26</v>
      </c>
      <c r="X5" s="16">
        <v>27</v>
      </c>
      <c r="Y5" s="16">
        <v>28</v>
      </c>
      <c r="Z5" s="16">
        <v>29</v>
      </c>
      <c r="AA5" s="16">
        <v>30</v>
      </c>
      <c r="AB5" s="16">
        <v>31</v>
      </c>
      <c r="AC5" s="26" t="s">
        <v>10</v>
      </c>
    </row>
    <row r="6" spans="2:35" x14ac:dyDescent="0.25">
      <c r="B6" s="3" t="s">
        <v>0</v>
      </c>
      <c r="C6" s="3" t="s">
        <v>1</v>
      </c>
      <c r="D6" s="2" t="s">
        <v>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6"/>
      <c r="AI6" s="18"/>
    </row>
    <row r="7" spans="2:35" x14ac:dyDescent="0.25">
      <c r="B7" s="5">
        <v>1</v>
      </c>
      <c r="C7" s="5">
        <v>1044</v>
      </c>
      <c r="D7" s="1" t="s">
        <v>17</v>
      </c>
      <c r="E7" s="23">
        <v>10</v>
      </c>
      <c r="F7" s="23">
        <v>10</v>
      </c>
      <c r="G7" s="23">
        <v>10</v>
      </c>
      <c r="H7" s="23">
        <v>10</v>
      </c>
      <c r="I7" s="23">
        <v>10</v>
      </c>
      <c r="J7" s="23">
        <v>10</v>
      </c>
      <c r="K7" s="23">
        <v>10</v>
      </c>
      <c r="L7" s="23">
        <v>10</v>
      </c>
      <c r="M7" s="23">
        <v>10</v>
      </c>
      <c r="N7" s="23">
        <v>10</v>
      </c>
      <c r="O7" s="23">
        <v>10</v>
      </c>
      <c r="P7" s="23">
        <v>10</v>
      </c>
      <c r="Q7" s="23">
        <v>10</v>
      </c>
      <c r="R7" s="23">
        <v>10</v>
      </c>
      <c r="S7" s="23">
        <v>10</v>
      </c>
      <c r="T7" s="23">
        <v>10</v>
      </c>
      <c r="U7" s="23">
        <v>10</v>
      </c>
      <c r="V7" s="23">
        <v>10</v>
      </c>
      <c r="W7" s="23">
        <v>10</v>
      </c>
      <c r="X7" s="23">
        <v>10</v>
      </c>
      <c r="Y7" s="23">
        <v>10</v>
      </c>
      <c r="Z7" s="23">
        <v>10</v>
      </c>
      <c r="AA7" s="23">
        <v>10</v>
      </c>
      <c r="AB7" s="23">
        <v>10</v>
      </c>
      <c r="AC7" s="10">
        <f>AVERAGE(E7:AB7)</f>
        <v>10</v>
      </c>
    </row>
    <row r="8" spans="2:35" x14ac:dyDescent="0.25">
      <c r="B8" s="5">
        <v>2</v>
      </c>
      <c r="C8" s="5">
        <v>879</v>
      </c>
      <c r="D8" s="1" t="s">
        <v>18</v>
      </c>
      <c r="E8" s="23">
        <v>10</v>
      </c>
      <c r="F8" s="23">
        <v>10</v>
      </c>
      <c r="G8" s="23">
        <v>10</v>
      </c>
      <c r="H8" s="23">
        <v>10</v>
      </c>
      <c r="I8" s="23">
        <v>10</v>
      </c>
      <c r="J8" s="23">
        <v>10</v>
      </c>
      <c r="K8" s="23">
        <v>10</v>
      </c>
      <c r="L8" s="23">
        <v>10</v>
      </c>
      <c r="M8" s="23">
        <v>10</v>
      </c>
      <c r="N8" s="23">
        <v>10</v>
      </c>
      <c r="O8" s="23">
        <v>10</v>
      </c>
      <c r="P8" s="23">
        <v>10</v>
      </c>
      <c r="Q8" s="23">
        <v>10</v>
      </c>
      <c r="R8" s="23">
        <v>10</v>
      </c>
      <c r="S8" s="23">
        <v>10</v>
      </c>
      <c r="T8" s="23">
        <v>10</v>
      </c>
      <c r="U8" s="23">
        <v>10</v>
      </c>
      <c r="V8" s="23">
        <v>10</v>
      </c>
      <c r="W8" s="23">
        <v>10</v>
      </c>
      <c r="X8" s="23">
        <v>10</v>
      </c>
      <c r="Y8" s="23">
        <v>10</v>
      </c>
      <c r="Z8" s="23">
        <v>10</v>
      </c>
      <c r="AA8" s="23">
        <v>10</v>
      </c>
      <c r="AB8" s="23">
        <v>10</v>
      </c>
      <c r="AC8" s="10">
        <f t="shared" ref="AC8:AC17" si="0">AVERAGE(E8:AB8)</f>
        <v>10</v>
      </c>
    </row>
    <row r="9" spans="2:35" x14ac:dyDescent="0.25">
      <c r="B9" s="5">
        <v>3</v>
      </c>
      <c r="C9" s="5">
        <v>1052</v>
      </c>
      <c r="D9" s="1" t="s">
        <v>19</v>
      </c>
      <c r="E9" s="23">
        <v>10</v>
      </c>
      <c r="F9" s="23">
        <v>10</v>
      </c>
      <c r="G9" s="23">
        <v>10</v>
      </c>
      <c r="H9" s="23">
        <v>10</v>
      </c>
      <c r="I9" s="23">
        <v>10</v>
      </c>
      <c r="J9" s="23">
        <v>10</v>
      </c>
      <c r="K9" s="23">
        <v>10</v>
      </c>
      <c r="L9" s="23">
        <v>10</v>
      </c>
      <c r="M9" s="23">
        <v>10</v>
      </c>
      <c r="N9" s="23">
        <v>10</v>
      </c>
      <c r="O9" s="23">
        <v>10</v>
      </c>
      <c r="P9" s="23">
        <v>10</v>
      </c>
      <c r="Q9" s="23">
        <v>10</v>
      </c>
      <c r="R9" s="23">
        <v>10</v>
      </c>
      <c r="S9" s="23">
        <v>10</v>
      </c>
      <c r="T9" s="23">
        <v>10</v>
      </c>
      <c r="U9" s="23">
        <v>10</v>
      </c>
      <c r="V9" s="23">
        <v>10</v>
      </c>
      <c r="W9" s="23">
        <v>10</v>
      </c>
      <c r="X9" s="23">
        <v>10</v>
      </c>
      <c r="Y9" s="23">
        <v>10</v>
      </c>
      <c r="Z9" s="23">
        <v>10</v>
      </c>
      <c r="AA9" s="23">
        <v>10</v>
      </c>
      <c r="AB9" s="23">
        <v>10</v>
      </c>
      <c r="AC9" s="10">
        <f t="shared" si="0"/>
        <v>10</v>
      </c>
    </row>
    <row r="10" spans="2:35" x14ac:dyDescent="0.25">
      <c r="B10" s="5">
        <v>4</v>
      </c>
      <c r="C10" s="5">
        <v>1114</v>
      </c>
      <c r="D10" s="1" t="s">
        <v>20</v>
      </c>
      <c r="E10" s="23">
        <v>10</v>
      </c>
      <c r="F10" s="23">
        <v>10</v>
      </c>
      <c r="G10" s="23">
        <v>10</v>
      </c>
      <c r="H10" s="23">
        <v>10</v>
      </c>
      <c r="I10" s="23">
        <v>10</v>
      </c>
      <c r="J10" s="23">
        <v>10</v>
      </c>
      <c r="K10" s="23">
        <v>10</v>
      </c>
      <c r="L10" s="23">
        <v>10</v>
      </c>
      <c r="M10" s="23">
        <v>10</v>
      </c>
      <c r="N10" s="23">
        <v>10</v>
      </c>
      <c r="O10" s="23">
        <v>10</v>
      </c>
      <c r="P10" s="23">
        <v>10</v>
      </c>
      <c r="Q10" s="23">
        <v>10</v>
      </c>
      <c r="R10" s="23">
        <v>10</v>
      </c>
      <c r="S10" s="23">
        <v>10</v>
      </c>
      <c r="T10" s="23">
        <v>10</v>
      </c>
      <c r="U10" s="23">
        <v>10</v>
      </c>
      <c r="V10" s="23">
        <v>10</v>
      </c>
      <c r="W10" s="23">
        <v>10</v>
      </c>
      <c r="X10" s="23">
        <v>10</v>
      </c>
      <c r="Y10" s="23">
        <v>10</v>
      </c>
      <c r="Z10" s="23">
        <v>10</v>
      </c>
      <c r="AA10" s="23">
        <v>10</v>
      </c>
      <c r="AB10" s="23">
        <v>10</v>
      </c>
      <c r="AC10" s="10">
        <f t="shared" si="0"/>
        <v>10</v>
      </c>
    </row>
    <row r="11" spans="2:35" x14ac:dyDescent="0.25">
      <c r="B11" s="5">
        <v>5</v>
      </c>
      <c r="C11" s="5">
        <v>900</v>
      </c>
      <c r="D11" s="1" t="s">
        <v>21</v>
      </c>
      <c r="E11" s="23">
        <v>10</v>
      </c>
      <c r="F11" s="23">
        <v>10</v>
      </c>
      <c r="G11" s="23">
        <v>10</v>
      </c>
      <c r="H11" s="23">
        <v>10</v>
      </c>
      <c r="I11" s="23">
        <v>10</v>
      </c>
      <c r="J11" s="23">
        <v>10</v>
      </c>
      <c r="K11" s="23">
        <v>10</v>
      </c>
      <c r="L11" s="23">
        <v>10</v>
      </c>
      <c r="M11" s="23">
        <v>10</v>
      </c>
      <c r="N11" s="23">
        <v>10</v>
      </c>
      <c r="O11" s="23">
        <v>10</v>
      </c>
      <c r="P11" s="23">
        <v>10</v>
      </c>
      <c r="Q11" s="23">
        <v>10</v>
      </c>
      <c r="R11" s="23">
        <v>10</v>
      </c>
      <c r="S11" s="23">
        <v>10</v>
      </c>
      <c r="T11" s="23">
        <v>10</v>
      </c>
      <c r="U11" s="23">
        <v>10</v>
      </c>
      <c r="V11" s="23">
        <v>10</v>
      </c>
      <c r="W11" s="23">
        <v>10</v>
      </c>
      <c r="X11" s="23">
        <v>10</v>
      </c>
      <c r="Y11" s="23">
        <v>10</v>
      </c>
      <c r="Z11" s="23">
        <v>10</v>
      </c>
      <c r="AA11" s="23">
        <v>10</v>
      </c>
      <c r="AB11" s="23">
        <v>10</v>
      </c>
      <c r="AC11" s="10">
        <f t="shared" si="0"/>
        <v>10</v>
      </c>
    </row>
    <row r="12" spans="2:35" x14ac:dyDescent="0.25">
      <c r="B12" s="5">
        <v>6</v>
      </c>
      <c r="C12" s="5">
        <v>1058</v>
      </c>
      <c r="D12" s="1" t="s">
        <v>22</v>
      </c>
      <c r="E12" s="23">
        <v>10</v>
      </c>
      <c r="F12" s="23">
        <v>10</v>
      </c>
      <c r="G12" s="23">
        <v>10</v>
      </c>
      <c r="H12" s="23">
        <v>10</v>
      </c>
      <c r="I12" s="23">
        <v>10</v>
      </c>
      <c r="J12" s="23">
        <v>10</v>
      </c>
      <c r="K12" s="23">
        <v>10</v>
      </c>
      <c r="L12" s="23">
        <v>10</v>
      </c>
      <c r="M12" s="23">
        <v>10</v>
      </c>
      <c r="N12" s="23">
        <v>10</v>
      </c>
      <c r="O12" s="23">
        <v>10</v>
      </c>
      <c r="P12" s="23">
        <v>10</v>
      </c>
      <c r="Q12" s="23">
        <v>10</v>
      </c>
      <c r="R12" s="23">
        <v>10</v>
      </c>
      <c r="S12" s="23">
        <v>10</v>
      </c>
      <c r="T12" s="23">
        <v>10</v>
      </c>
      <c r="U12" s="23">
        <v>10</v>
      </c>
      <c r="V12" s="23">
        <v>10</v>
      </c>
      <c r="W12" s="23">
        <v>10</v>
      </c>
      <c r="X12" s="23">
        <v>10</v>
      </c>
      <c r="Y12" s="23">
        <v>10</v>
      </c>
      <c r="Z12" s="23">
        <v>10</v>
      </c>
      <c r="AA12" s="23">
        <v>10</v>
      </c>
      <c r="AB12" s="23">
        <v>10</v>
      </c>
      <c r="AC12" s="10">
        <f t="shared" si="0"/>
        <v>10</v>
      </c>
    </row>
    <row r="13" spans="2:35" x14ac:dyDescent="0.25">
      <c r="B13" s="5">
        <v>7</v>
      </c>
      <c r="C13" s="5">
        <v>1018</v>
      </c>
      <c r="D13" s="1" t="s">
        <v>23</v>
      </c>
      <c r="E13" s="23">
        <v>10</v>
      </c>
      <c r="F13" s="23">
        <v>10</v>
      </c>
      <c r="G13" s="23">
        <v>10</v>
      </c>
      <c r="H13" s="23">
        <v>10</v>
      </c>
      <c r="I13" s="23">
        <v>10</v>
      </c>
      <c r="J13" s="23">
        <v>10</v>
      </c>
      <c r="K13" s="23">
        <v>10</v>
      </c>
      <c r="L13" s="23">
        <v>10</v>
      </c>
      <c r="M13" s="23">
        <v>10</v>
      </c>
      <c r="N13" s="23">
        <v>10</v>
      </c>
      <c r="O13" s="23">
        <v>10</v>
      </c>
      <c r="P13" s="23">
        <v>10</v>
      </c>
      <c r="Q13" s="23">
        <v>10</v>
      </c>
      <c r="R13" s="23">
        <v>10</v>
      </c>
      <c r="S13" s="23">
        <v>10</v>
      </c>
      <c r="T13" s="23">
        <v>10</v>
      </c>
      <c r="U13" s="23">
        <v>10</v>
      </c>
      <c r="V13" s="23">
        <v>10</v>
      </c>
      <c r="W13" s="23">
        <v>10</v>
      </c>
      <c r="X13" s="23">
        <v>10</v>
      </c>
      <c r="Y13" s="23">
        <v>10</v>
      </c>
      <c r="Z13" s="23">
        <v>10</v>
      </c>
      <c r="AA13" s="23">
        <v>10</v>
      </c>
      <c r="AB13" s="23">
        <v>10</v>
      </c>
      <c r="AC13" s="10">
        <f t="shared" si="0"/>
        <v>10</v>
      </c>
    </row>
    <row r="14" spans="2:35" x14ac:dyDescent="0.25">
      <c r="B14" s="5">
        <v>8</v>
      </c>
      <c r="C14" s="5">
        <v>714</v>
      </c>
      <c r="D14" s="1" t="s">
        <v>24</v>
      </c>
      <c r="E14" s="23">
        <v>10</v>
      </c>
      <c r="F14" s="23">
        <v>10</v>
      </c>
      <c r="G14" s="23">
        <v>10</v>
      </c>
      <c r="H14" s="23">
        <v>10</v>
      </c>
      <c r="I14" s="23">
        <v>10</v>
      </c>
      <c r="J14" s="23">
        <v>10</v>
      </c>
      <c r="K14" s="23">
        <v>10</v>
      </c>
      <c r="L14" s="23">
        <v>10</v>
      </c>
      <c r="M14" s="23">
        <v>10</v>
      </c>
      <c r="N14" s="23">
        <v>10</v>
      </c>
      <c r="O14" s="23">
        <v>10</v>
      </c>
      <c r="P14" s="23">
        <v>10</v>
      </c>
      <c r="Q14" s="23">
        <v>10</v>
      </c>
      <c r="R14" s="23">
        <v>10</v>
      </c>
      <c r="S14" s="23">
        <v>10</v>
      </c>
      <c r="T14" s="23">
        <v>10</v>
      </c>
      <c r="U14" s="23">
        <v>10</v>
      </c>
      <c r="V14" s="23">
        <v>10</v>
      </c>
      <c r="W14" s="23">
        <v>10</v>
      </c>
      <c r="X14" s="23">
        <v>10</v>
      </c>
      <c r="Y14" s="23">
        <v>10</v>
      </c>
      <c r="Z14" s="23">
        <v>10</v>
      </c>
      <c r="AA14" s="23">
        <v>10</v>
      </c>
      <c r="AB14" s="23">
        <v>10</v>
      </c>
      <c r="AC14" s="10">
        <f t="shared" si="0"/>
        <v>10</v>
      </c>
    </row>
    <row r="15" spans="2:35" x14ac:dyDescent="0.25">
      <c r="B15" s="5">
        <v>9</v>
      </c>
      <c r="C15" s="5">
        <v>1010</v>
      </c>
      <c r="D15" s="1" t="s">
        <v>25</v>
      </c>
      <c r="E15" s="23">
        <v>10</v>
      </c>
      <c r="F15" s="23">
        <v>10</v>
      </c>
      <c r="G15" s="23">
        <v>10</v>
      </c>
      <c r="H15" s="23">
        <v>10</v>
      </c>
      <c r="I15" s="23">
        <v>10</v>
      </c>
      <c r="J15" s="23">
        <v>10</v>
      </c>
      <c r="K15" s="23">
        <v>10</v>
      </c>
      <c r="L15" s="23">
        <v>10</v>
      </c>
      <c r="M15" s="23">
        <v>10</v>
      </c>
      <c r="N15" s="23">
        <v>10</v>
      </c>
      <c r="O15" s="23">
        <v>10</v>
      </c>
      <c r="P15" s="23">
        <v>10</v>
      </c>
      <c r="Q15" s="23">
        <v>10</v>
      </c>
      <c r="R15" s="23">
        <v>10</v>
      </c>
      <c r="S15" s="23">
        <v>10</v>
      </c>
      <c r="T15" s="23">
        <v>10</v>
      </c>
      <c r="U15" s="23">
        <v>10</v>
      </c>
      <c r="V15" s="23">
        <v>10</v>
      </c>
      <c r="W15" s="23">
        <v>10</v>
      </c>
      <c r="X15" s="23">
        <v>10</v>
      </c>
      <c r="Y15" s="23">
        <v>10</v>
      </c>
      <c r="Z15" s="23">
        <v>10</v>
      </c>
      <c r="AA15" s="23">
        <v>10</v>
      </c>
      <c r="AB15" s="23">
        <v>10</v>
      </c>
      <c r="AC15" s="10">
        <f t="shared" si="0"/>
        <v>10</v>
      </c>
    </row>
    <row r="16" spans="2:35" x14ac:dyDescent="0.25">
      <c r="B16" s="5">
        <v>10</v>
      </c>
      <c r="C16" s="5">
        <v>1211</v>
      </c>
      <c r="D16" s="1" t="s">
        <v>26</v>
      </c>
      <c r="E16" s="23">
        <v>10</v>
      </c>
      <c r="F16" s="23">
        <v>10</v>
      </c>
      <c r="G16" s="23">
        <v>10</v>
      </c>
      <c r="H16" s="23">
        <v>10</v>
      </c>
      <c r="I16" s="23">
        <v>10</v>
      </c>
      <c r="J16" s="23">
        <v>10</v>
      </c>
      <c r="K16" s="23">
        <v>10</v>
      </c>
      <c r="L16" s="23">
        <v>10</v>
      </c>
      <c r="M16" s="23">
        <v>10</v>
      </c>
      <c r="N16" s="23">
        <v>10</v>
      </c>
      <c r="O16" s="23">
        <v>10</v>
      </c>
      <c r="P16" s="23">
        <v>10</v>
      </c>
      <c r="Q16" s="23">
        <v>10</v>
      </c>
      <c r="R16" s="23">
        <v>10</v>
      </c>
      <c r="S16" s="23">
        <v>10</v>
      </c>
      <c r="T16" s="23">
        <v>10</v>
      </c>
      <c r="U16" s="23">
        <v>10</v>
      </c>
      <c r="V16" s="23">
        <v>10</v>
      </c>
      <c r="W16" s="23">
        <v>10</v>
      </c>
      <c r="X16" s="23">
        <v>10</v>
      </c>
      <c r="Y16" s="23">
        <v>10</v>
      </c>
      <c r="Z16" s="23">
        <v>10</v>
      </c>
      <c r="AA16" s="23">
        <v>10</v>
      </c>
      <c r="AB16" s="23">
        <v>10</v>
      </c>
      <c r="AC16" s="10">
        <f t="shared" si="0"/>
        <v>10</v>
      </c>
    </row>
    <row r="17" spans="2:29" x14ac:dyDescent="0.25">
      <c r="B17" s="5">
        <v>11</v>
      </c>
      <c r="C17" s="5">
        <v>880</v>
      </c>
      <c r="D17" s="1" t="s">
        <v>27</v>
      </c>
      <c r="E17" s="23">
        <v>10</v>
      </c>
      <c r="F17" s="23">
        <v>10</v>
      </c>
      <c r="G17" s="23">
        <v>10</v>
      </c>
      <c r="H17" s="23">
        <v>10</v>
      </c>
      <c r="I17" s="23">
        <v>10</v>
      </c>
      <c r="J17" s="23">
        <v>10</v>
      </c>
      <c r="K17" s="23">
        <v>10</v>
      </c>
      <c r="L17" s="23">
        <v>10</v>
      </c>
      <c r="M17" s="23">
        <v>10</v>
      </c>
      <c r="N17" s="23">
        <v>10</v>
      </c>
      <c r="O17" s="23">
        <v>10</v>
      </c>
      <c r="P17" s="23">
        <v>10</v>
      </c>
      <c r="Q17" s="23">
        <v>10</v>
      </c>
      <c r="R17" s="23">
        <v>10</v>
      </c>
      <c r="S17" s="23">
        <v>10</v>
      </c>
      <c r="T17" s="23">
        <v>10</v>
      </c>
      <c r="U17" s="23">
        <v>10</v>
      </c>
      <c r="V17" s="23">
        <v>10</v>
      </c>
      <c r="W17" s="23">
        <v>10</v>
      </c>
      <c r="X17" s="23">
        <v>10</v>
      </c>
      <c r="Y17" s="23">
        <v>10</v>
      </c>
      <c r="Z17" s="23">
        <v>10</v>
      </c>
      <c r="AA17" s="23">
        <v>10</v>
      </c>
      <c r="AB17" s="23">
        <v>10</v>
      </c>
      <c r="AC17" s="10">
        <f t="shared" si="0"/>
        <v>10</v>
      </c>
    </row>
  </sheetData>
  <mergeCells count="14">
    <mergeCell ref="U3:X3"/>
    <mergeCell ref="Y3:AB3"/>
    <mergeCell ref="U4:X4"/>
    <mergeCell ref="Y4:AB4"/>
    <mergeCell ref="B2:D2"/>
    <mergeCell ref="E2:AC2"/>
    <mergeCell ref="E4:H4"/>
    <mergeCell ref="E3:H3"/>
    <mergeCell ref="I3:L3"/>
    <mergeCell ref="I4:L4"/>
    <mergeCell ref="M3:P3"/>
    <mergeCell ref="Q3:T3"/>
    <mergeCell ref="M4:P4"/>
    <mergeCell ref="Q4:T4"/>
  </mergeCells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Tareas</vt:lpstr>
      <vt:lpstr>Cuaderno</vt:lpstr>
      <vt:lpstr>Libro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Elisa Guerra Santibanez</cp:lastModifiedBy>
  <dcterms:created xsi:type="dcterms:W3CDTF">2025-11-01T17:31:50Z</dcterms:created>
  <dcterms:modified xsi:type="dcterms:W3CDTF">2025-11-07T05:23:03Z</dcterms:modified>
</cp:coreProperties>
</file>