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alificaciones" sheetId="3" r:id="rId1"/>
    <sheet name="Tareas" sheetId="1" r:id="rId2"/>
    <sheet name="Cuaderno" sheetId="4" r:id="rId3"/>
    <sheet name="Libro 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<sst xmlns="http://schemas.openxmlformats.org/spreadsheetml/2006/main" count="131" uniqueCount="74">
  <si>
    <t>N6 PRIMARIA 6°A</t>
  </si>
  <si>
    <t>Ética, Naturaleza y Sociedades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</si>
  <si>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</si>
  <si>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</si>
  <si>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</si>
  <si>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</si>
  <si>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</si>
  <si>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</si>
  <si>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</si>
  <si>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</si>
  <si>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</si>
  <si>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</si>
  <si>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Porcentaje</t>
  </si>
  <si>
    <t>No.</t>
  </si>
  <si>
    <t>Matrícula</t>
  </si>
  <si>
    <t>Nombre del Alumno</t>
  </si>
  <si>
    <t>Almanza Rocha Valeria Paola</t>
  </si>
  <si>
    <t>Camejo de la Torre Josue</t>
  </si>
  <si>
    <t>Chavez Escobedo Carlo</t>
  </si>
  <si>
    <t>Medina Hernandez Angela Karol</t>
  </si>
  <si>
    <t>Morales Alvarez Julia</t>
  </si>
  <si>
    <t>Rodriguez Robles Mateo</t>
  </si>
  <si>
    <t>Sanchez Pedraza Ian Alexander</t>
  </si>
  <si>
    <t>Serrano Ponce Camila Denisse</t>
  </si>
  <si>
    <t>Torres Avalos Oskar</t>
  </si>
  <si>
    <t>Venegas Delgadillo Jorge Alfonso</t>
  </si>
  <si>
    <t>Zarate Medellin Regina Noemi</t>
  </si>
  <si>
    <t>TOTAL</t>
  </si>
  <si>
    <t>EL proyecto fue la Conmemoración de la Revolución Mexicana</t>
  </si>
  <si>
    <t>Objeto con materiales reciclados</t>
  </si>
  <si>
    <t>Conservar y cuidar el medio ambiente</t>
  </si>
  <si>
    <t>Ecosistemas que existen en México</t>
  </si>
  <si>
    <t>Collage de los patrimonios naturales de México</t>
  </si>
  <si>
    <t>Animales extintos</t>
  </si>
  <si>
    <t>Reflexión video National Geographic</t>
  </si>
  <si>
    <t>Cartulina, colores o plumones</t>
  </si>
  <si>
    <t>Principales fuentes de agua en México</t>
  </si>
  <si>
    <t>Empresas que más contaminan el agua en México</t>
  </si>
  <si>
    <t>Diferencia entre equidad e igualdad</t>
  </si>
  <si>
    <t> ¿Qué es la igualdad de género?</t>
  </si>
  <si>
    <t>¿Qué es la empatía?</t>
  </si>
  <si>
    <t> Desatres naturales y atrópicos</t>
  </si>
  <si>
    <t>Lección 27. Así funciona la democracia</t>
  </si>
  <si>
    <t>Tarea</t>
  </si>
  <si>
    <t>Cuaderno</t>
  </si>
  <si>
    <t>Examen diagnóstico</t>
  </si>
  <si>
    <t>Los seres vivos y su importancia</t>
  </si>
  <si>
    <t>Sobre la ética</t>
  </si>
  <si>
    <t>Reciclaje</t>
  </si>
  <si>
    <t>Especies endémicas</t>
  </si>
  <si>
    <t>Extinción</t>
  </si>
  <si>
    <t>Extinción masiva</t>
  </si>
  <si>
    <t>Poster medio ambiente</t>
  </si>
  <si>
    <t>Resolución de conflictos</t>
  </si>
  <si>
    <t>Equidad para todods</t>
  </si>
  <si>
    <t>Problemas en la biodiversidad</t>
  </si>
  <si>
    <t>Los conflictos</t>
  </si>
  <si>
    <t>Los conflictos 2</t>
  </si>
  <si>
    <t>Resolvemos conflictos para vivir en armonía</t>
  </si>
  <si>
    <t>Prevención de desastres pt.1</t>
  </si>
  <si>
    <t>Prevención de desastres pt. 2</t>
  </si>
  <si>
    <t>Historia de la democracia</t>
  </si>
  <si>
    <t>Conmemoración de la Revolución Mexicana</t>
  </si>
  <si>
    <t>Valoro la Democracia y su historia</t>
  </si>
  <si>
    <t>Actividad</t>
  </si>
  <si>
    <t>Protegiendo la biodiversidad: un deber de todos</t>
  </si>
  <si>
    <t>Entre todos cuidamos el agua</t>
  </si>
  <si>
    <t>La conservación de la diversidad es responsabilidad de todos</t>
  </si>
  <si>
    <t>Prevención de Desastres</t>
  </si>
  <si>
    <t>Valoro la democracia y su historia</t>
  </si>
  <si>
    <t>C1</t>
  </si>
  <si>
    <t>C2</t>
  </si>
  <si>
    <t>C3</t>
  </si>
  <si>
    <t>Páginas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</si>
</sst>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10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/>
    <xf numFmtId="178" fontId="1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center" vertical="center" textRotation="90" wrapText="1"/>
    </xf>
    <xf numFmtId="178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/>
    <xf numFmtId="9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8" fontId="0" fillId="5" borderId="1" xfId="0" applyNumberForma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78" fontId="1" fillId="6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9"/>
  <sheetViews>
    <sheetView tabSelected="1" workbookViewId="0">
      <selection activeCell="E28" sqref="E28"/>
    </sheetView>
  </sheetViews>
  <sheetFormatPr defaultColWidth="9.10833333333333" defaultRowHeight="13.8"/>
  <cols>
    <col min="4" max="4" width="34.8833333333333" customWidth="1"/>
    <col min="5" max="6" width="9.33333333333333" customWidth="1"/>
    <col min="7" max="7" width="17.5583333333333" customWidth="1"/>
    <col min="8" max="8" width="10" customWidth="1"/>
    <col min="9" max="9" width="6.88333333333333" customWidth="1"/>
    <col min="10" max="10" width="14.1083333333333" customWidth="1"/>
    <col min="11" max="11" width="8.55833333333333" customWidth="1"/>
    <col min="12" max="12" width="9.55833333333333" customWidth="1"/>
    <col min="13" max="13" width="29.8833333333333" customWidth="1"/>
  </cols>
  <sheetData>
    <row r="2" spans="2:13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</row>
    <row r="3" spans="2:13">
      <c r="B3" s="18"/>
      <c r="C3" s="18"/>
      <c r="D3" s="24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</row>
    <row r="4" spans="2:13">
      <c r="B4" s="14"/>
      <c r="C4" s="14"/>
      <c r="D4" s="14" t="s">
        <v>12</v>
      </c>
      <c r="E4" s="25">
        <v>0.09</v>
      </c>
      <c r="F4" s="25">
        <v>0.09</v>
      </c>
      <c r="G4" s="25">
        <v>0.25</v>
      </c>
      <c r="H4" s="25">
        <v>0.07</v>
      </c>
      <c r="I4" s="25">
        <v>0.2</v>
      </c>
      <c r="J4" s="25">
        <v>0.2</v>
      </c>
      <c r="K4" s="25">
        <v>0.1</v>
      </c>
      <c r="L4" s="18"/>
      <c r="M4" s="14"/>
    </row>
    <row r="5" spans="2:13">
      <c r="B5" s="12" t="s">
        <v>13</v>
      </c>
      <c r="C5" s="12" t="s">
        <v>14</v>
      </c>
      <c r="D5" s="13" t="s">
        <v>15</v>
      </c>
      <c r="E5" s="14"/>
      <c r="F5" s="14"/>
      <c r="G5" s="14"/>
      <c r="H5" s="14"/>
      <c r="I5" s="14"/>
      <c r="J5" s="14"/>
      <c r="K5" s="14"/>
      <c r="L5" s="18"/>
      <c r="M5" s="14"/>
    </row>
    <row r="6" spans="2:13">
      <c r="B6" s="15">
        <v>1</v>
      </c>
      <c r="C6" s="15">
        <v>1044</v>
      </c>
      <c r="D6" s="14" t="s">
        <v>16</v>
      </c>
      <c r="E6" s="26">
        <v>10</v>
      </c>
      <c r="F6" s="26">
        <v>6</v>
      </c>
      <c r="G6" s="26">
        <v>10</v>
      </c>
      <c r="H6" s="26">
        <v>8</v>
      </c>
      <c r="I6" s="26">
        <f>Tareas!S6</f>
        <v>9.28571428571429</v>
      </c>
      <c r="J6" s="26">
        <f>Cuaderno!X6*0.5+'Libro 1'!AC7*0.5</f>
        <v>10</v>
      </c>
      <c r="K6" s="26">
        <v>10</v>
      </c>
      <c r="L6" s="19">
        <f>E6*0.09+F6*0.09+G8*0.25+H6*0.07+I6*0.2+J6*0.2+K6*0.1</f>
        <v>6.85714285714286</v>
      </c>
      <c r="M6" s="14"/>
    </row>
    <row r="7" spans="2:13">
      <c r="B7" s="15">
        <v>2</v>
      </c>
      <c r="C7" s="15">
        <v>879</v>
      </c>
      <c r="D7" s="14" t="s">
        <v>17</v>
      </c>
      <c r="E7" s="26">
        <v>10</v>
      </c>
      <c r="F7" s="26">
        <v>9</v>
      </c>
      <c r="G7" s="26">
        <v>0</v>
      </c>
      <c r="H7" s="26">
        <v>9</v>
      </c>
      <c r="I7" s="26">
        <f>Tareas!S7</f>
        <v>6.42857142857143</v>
      </c>
      <c r="J7" s="26">
        <f>Cuaderno!X7*0.5+'Libro 1'!AC8*0.5</f>
        <v>8.42105263157895</v>
      </c>
      <c r="K7" s="26">
        <v>10</v>
      </c>
      <c r="L7" s="19">
        <f t="shared" ref="L7:L15" si="0">E7*0.09+F7*0.09+G7*0.25+H7*0.07+I7*0.2+J7*0.2+K7*0.1</f>
        <v>6.30992481203008</v>
      </c>
      <c r="M7" s="14"/>
    </row>
    <row r="8" spans="2:13">
      <c r="B8" s="15">
        <v>3</v>
      </c>
      <c r="C8" s="15">
        <v>1052</v>
      </c>
      <c r="D8" s="14" t="s">
        <v>18</v>
      </c>
      <c r="E8" s="26">
        <v>7</v>
      </c>
      <c r="F8" s="26">
        <v>8</v>
      </c>
      <c r="G8" s="26">
        <v>0</v>
      </c>
      <c r="H8" s="26">
        <v>7</v>
      </c>
      <c r="I8" s="26">
        <f>Tareas!S8</f>
        <v>5</v>
      </c>
      <c r="J8" s="26">
        <f>Cuaderno!X8*0.5+'Libro 1'!AC9*0.5</f>
        <v>9.47368421052632</v>
      </c>
      <c r="K8" s="26">
        <v>10</v>
      </c>
      <c r="L8" s="19">
        <f t="shared" si="0"/>
        <v>5.73473684210526</v>
      </c>
      <c r="M8" s="14"/>
    </row>
    <row r="9" spans="2:13">
      <c r="B9" s="15">
        <v>4</v>
      </c>
      <c r="C9" s="15">
        <v>1114</v>
      </c>
      <c r="D9" s="14" t="s">
        <v>19</v>
      </c>
      <c r="E9" s="27">
        <v>0</v>
      </c>
      <c r="F9" s="26">
        <v>7</v>
      </c>
      <c r="G9" s="26">
        <v>0</v>
      </c>
      <c r="H9" s="26">
        <v>10</v>
      </c>
      <c r="I9" s="26">
        <f>Tareas!S9</f>
        <v>5.71428571428571</v>
      </c>
      <c r="J9" s="26">
        <f>Cuaderno!X9*0.5+'Libro 1'!AC10*0.5</f>
        <v>8.68421052631579</v>
      </c>
      <c r="K9" s="26">
        <v>10</v>
      </c>
      <c r="L9" s="19">
        <f t="shared" si="0"/>
        <v>5.2096992481203</v>
      </c>
      <c r="M9" s="14"/>
    </row>
    <row r="10" spans="2:13">
      <c r="B10" s="15">
        <v>5</v>
      </c>
      <c r="C10" s="15">
        <v>900</v>
      </c>
      <c r="D10" s="14" t="s">
        <v>20</v>
      </c>
      <c r="E10" s="26">
        <v>9</v>
      </c>
      <c r="F10" s="26">
        <v>9</v>
      </c>
      <c r="G10" s="26">
        <v>0</v>
      </c>
      <c r="H10" s="26">
        <v>9</v>
      </c>
      <c r="I10" s="26">
        <f>Tareas!S10</f>
        <v>7.85714285714286</v>
      </c>
      <c r="J10" s="26">
        <f>Cuaderno!X10*0.5+'Libro 1'!AC11*0.5</f>
        <v>9.21052631578947</v>
      </c>
      <c r="K10" s="26">
        <v>10</v>
      </c>
      <c r="L10" s="19">
        <f t="shared" si="0"/>
        <v>6.66353383458647</v>
      </c>
      <c r="M10" s="14"/>
    </row>
    <row r="11" spans="2:13">
      <c r="B11" s="15">
        <v>6</v>
      </c>
      <c r="C11" s="15">
        <v>1058</v>
      </c>
      <c r="D11" s="14" t="s">
        <v>21</v>
      </c>
      <c r="E11" s="26">
        <v>8</v>
      </c>
      <c r="F11" s="26">
        <v>9</v>
      </c>
      <c r="G11" s="26">
        <v>0</v>
      </c>
      <c r="H11" s="26">
        <v>6</v>
      </c>
      <c r="I11" s="26">
        <f>Tareas!S11</f>
        <v>7.14285714285714</v>
      </c>
      <c r="J11" s="26">
        <f>Cuaderno!X11*0.5+'Libro 1'!AC12*0.5</f>
        <v>7.63157894736842</v>
      </c>
      <c r="K11" s="26">
        <v>10</v>
      </c>
      <c r="L11" s="19">
        <f t="shared" si="0"/>
        <v>5.90488721804511</v>
      </c>
      <c r="M11" s="14"/>
    </row>
    <row r="12" spans="2:13">
      <c r="B12" s="15">
        <v>7</v>
      </c>
      <c r="C12" s="15">
        <v>1018</v>
      </c>
      <c r="D12" s="14" t="s">
        <v>22</v>
      </c>
      <c r="E12" s="26">
        <v>6</v>
      </c>
      <c r="F12" s="26">
        <v>8</v>
      </c>
      <c r="G12" s="26">
        <v>0</v>
      </c>
      <c r="H12" s="26">
        <v>8</v>
      </c>
      <c r="I12" s="26">
        <f>Tareas!S12</f>
        <v>6.42857142857143</v>
      </c>
      <c r="J12" s="26">
        <f>Cuaderno!X12*0.5+'Libro 1'!AC13*0.5</f>
        <v>8.94736842105263</v>
      </c>
      <c r="K12" s="26">
        <v>10</v>
      </c>
      <c r="L12" s="19">
        <f t="shared" si="0"/>
        <v>5.89518796992481</v>
      </c>
      <c r="M12" s="14"/>
    </row>
    <row r="13" spans="2:13">
      <c r="B13" s="15">
        <v>8</v>
      </c>
      <c r="C13" s="15">
        <v>714</v>
      </c>
      <c r="D13" s="14" t="s">
        <v>23</v>
      </c>
      <c r="E13" s="26">
        <v>10</v>
      </c>
      <c r="F13" s="26">
        <v>9</v>
      </c>
      <c r="G13" s="26">
        <v>0</v>
      </c>
      <c r="H13" s="26">
        <v>7</v>
      </c>
      <c r="I13" s="26">
        <f>Tareas!S13</f>
        <v>6.42857142857143</v>
      </c>
      <c r="J13" s="26">
        <f>Cuaderno!X13*0.5+'Libro 1'!AC14*0.5</f>
        <v>8.94736842105263</v>
      </c>
      <c r="K13" s="26">
        <v>10</v>
      </c>
      <c r="L13" s="19">
        <f t="shared" si="0"/>
        <v>6.27518796992481</v>
      </c>
      <c r="M13" s="14"/>
    </row>
    <row r="14" spans="2:13">
      <c r="B14" s="15">
        <v>9</v>
      </c>
      <c r="C14" s="15">
        <v>1010</v>
      </c>
      <c r="D14" s="14" t="s">
        <v>24</v>
      </c>
      <c r="E14" s="26">
        <v>8</v>
      </c>
      <c r="F14" s="26">
        <v>10</v>
      </c>
      <c r="G14" s="26">
        <v>0</v>
      </c>
      <c r="H14" s="26">
        <v>6</v>
      </c>
      <c r="I14" s="26">
        <f>Tareas!S14</f>
        <v>10</v>
      </c>
      <c r="J14" s="26">
        <f>Cuaderno!X14*0.5+'Libro 1'!AC15*0.5</f>
        <v>10</v>
      </c>
      <c r="K14" s="26">
        <v>10</v>
      </c>
      <c r="L14" s="19">
        <f t="shared" si="0"/>
        <v>7.04</v>
      </c>
      <c r="M14" s="14"/>
    </row>
    <row r="15" spans="2:13">
      <c r="B15" s="15">
        <v>10</v>
      </c>
      <c r="C15" s="15">
        <v>1211</v>
      </c>
      <c r="D15" s="14" t="s">
        <v>25</v>
      </c>
      <c r="E15" s="27">
        <v>0</v>
      </c>
      <c r="F15" s="27">
        <v>0</v>
      </c>
      <c r="G15" s="26">
        <v>0</v>
      </c>
      <c r="H15" s="26">
        <v>9</v>
      </c>
      <c r="I15" s="26">
        <f>Tareas!S15</f>
        <v>7.85714285714286</v>
      </c>
      <c r="J15" s="26">
        <f>Cuaderno!X15*0.5+'Libro 1'!AC16*0.5</f>
        <v>9.47368421052632</v>
      </c>
      <c r="K15" s="26">
        <v>10</v>
      </c>
      <c r="L15" s="19">
        <f t="shared" si="0"/>
        <v>5.09616541353383</v>
      </c>
      <c r="M15" s="14"/>
    </row>
    <row r="16" spans="2:13">
      <c r="B16" s="15">
        <v>11</v>
      </c>
      <c r="C16" s="15">
        <v>880</v>
      </c>
      <c r="D16" s="14" t="s">
        <v>26</v>
      </c>
      <c r="E16" s="26">
        <v>8</v>
      </c>
      <c r="F16" s="26">
        <v>9</v>
      </c>
      <c r="G16" s="26">
        <v>0</v>
      </c>
      <c r="H16" s="26">
        <v>10</v>
      </c>
      <c r="I16" s="26">
        <f>Tareas!S16</f>
        <v>8.57142857142857</v>
      </c>
      <c r="J16" s="26">
        <f>Cuaderno!X16*0.5+'Libro 1'!AC17*0.5</f>
        <v>9.47368421052632</v>
      </c>
      <c r="K16" s="26">
        <v>10</v>
      </c>
      <c r="L16" s="19">
        <f t="shared" ref="L16" si="1">E16*0.09+F16*0.09+G16*0.25+H16*0.07+I16*0.2+J16*0.2+K16*0.1</f>
        <v>6.83902255639098</v>
      </c>
      <c r="M16" s="14"/>
    </row>
    <row r="17" spans="2:13">
      <c r="B17" s="28" t="s">
        <v>27</v>
      </c>
      <c r="C17" s="29"/>
      <c r="D17" s="30"/>
      <c r="E17" s="31">
        <f>AVERAGE(E6:E16)</f>
        <v>6.90909090909091</v>
      </c>
      <c r="F17" s="31">
        <f>AVERAGE(F6:F16)</f>
        <v>7.63636363636364</v>
      </c>
      <c r="G17" s="31">
        <f>AVERAGE(G7:G15)</f>
        <v>0</v>
      </c>
      <c r="H17" s="31">
        <f t="shared" ref="H17:L17" si="2">AVERAGE(H6:H15)</f>
        <v>7.9</v>
      </c>
      <c r="I17" s="31">
        <f t="shared" si="2"/>
        <v>7.21428571428572</v>
      </c>
      <c r="J17" s="31">
        <f t="shared" si="2"/>
        <v>9.07894736842105</v>
      </c>
      <c r="K17" s="31">
        <f t="shared" si="2"/>
        <v>10</v>
      </c>
      <c r="L17" s="31">
        <f t="shared" si="2"/>
        <v>6.09864661654135</v>
      </c>
      <c r="M17" s="33"/>
    </row>
    <row r="19" spans="2:13">
      <c r="B19" s="32" t="s">
        <v>9</v>
      </c>
      <c r="C19" s="32"/>
      <c r="D19" s="15" t="s">
        <v>28</v>
      </c>
      <c r="E19" s="15"/>
      <c r="F19" s="15"/>
      <c r="G19" s="15"/>
      <c r="H19" s="15"/>
      <c r="I19" s="15"/>
      <c r="J19" s="15"/>
      <c r="K19" s="15"/>
      <c r="L19" s="15"/>
      <c r="M19" s="15"/>
    </row>
  </sheetData>
  <mergeCells count="5">
    <mergeCell ref="B2:D2"/>
    <mergeCell ref="E2:M2"/>
    <mergeCell ref="B17:D17"/>
    <mergeCell ref="B19:C19"/>
    <mergeCell ref="D19:M19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16"/>
  <sheetViews>
    <sheetView zoomScale="115" zoomScaleNormal="115" topLeftCell="B1" workbookViewId="0">
      <selection activeCell="G6" sqref="G6"/>
    </sheetView>
  </sheetViews>
  <sheetFormatPr defaultColWidth="9.10833333333333" defaultRowHeight="13.8"/>
  <cols>
    <col min="4" max="4" width="34.8833333333333" customWidth="1"/>
    <col min="5" max="7" width="6.66666666666667" customWidth="1"/>
    <col min="8" max="8" width="9.44166666666667" customWidth="1"/>
    <col min="9" max="9" width="5" customWidth="1"/>
    <col min="10" max="10" width="6.55833333333333" customWidth="1"/>
    <col min="11" max="11" width="6.66666666666667" customWidth="1"/>
    <col min="12" max="12" width="6.55833333333333" customWidth="1"/>
    <col min="13" max="13" width="9.44166666666667" customWidth="1"/>
    <col min="14" max="15" width="6.55833333333333" customWidth="1"/>
    <col min="16" max="16" width="5" customWidth="1"/>
    <col min="17" max="17" width="6.55833333333333" customWidth="1"/>
    <col min="18" max="19" width="9.55833333333333" customWidth="1"/>
  </cols>
  <sheetData>
    <row r="2" spans="2:19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16.25" customHeight="1" spans="2:19">
      <c r="B3" s="23"/>
      <c r="C3" s="23"/>
      <c r="D3" s="23"/>
      <c r="E3" s="21" t="s">
        <v>29</v>
      </c>
      <c r="F3" s="21" t="s">
        <v>30</v>
      </c>
      <c r="G3" s="21" t="s">
        <v>31</v>
      </c>
      <c r="H3" s="21" t="s">
        <v>32</v>
      </c>
      <c r="I3" s="21" t="s">
        <v>33</v>
      </c>
      <c r="J3" s="21" t="s">
        <v>34</v>
      </c>
      <c r="K3" s="21" t="s">
        <v>35</v>
      </c>
      <c r="L3" s="21" t="s">
        <v>36</v>
      </c>
      <c r="M3" s="21" t="s">
        <v>37</v>
      </c>
      <c r="N3" s="21" t="s">
        <v>38</v>
      </c>
      <c r="O3" s="21" t="s">
        <v>39</v>
      </c>
      <c r="P3" s="21" t="s">
        <v>40</v>
      </c>
      <c r="Q3" s="21" t="s">
        <v>41</v>
      </c>
      <c r="R3" s="21" t="s">
        <v>42</v>
      </c>
      <c r="S3" s="23"/>
    </row>
    <row r="4" spans="2:19">
      <c r="B4" s="18"/>
      <c r="C4" s="18"/>
      <c r="D4" s="24" t="s">
        <v>43</v>
      </c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  <c r="Q4" s="2">
        <v>14</v>
      </c>
      <c r="R4" s="2">
        <v>15</v>
      </c>
      <c r="S4" s="2" t="s">
        <v>10</v>
      </c>
    </row>
    <row r="5" spans="2:19">
      <c r="B5" s="12" t="s">
        <v>13</v>
      </c>
      <c r="C5" s="12" t="s">
        <v>14</v>
      </c>
      <c r="D5" s="13" t="s">
        <v>15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8"/>
    </row>
    <row r="6" spans="2:19">
      <c r="B6" s="15">
        <v>1</v>
      </c>
      <c r="C6" s="15">
        <v>1044</v>
      </c>
      <c r="D6" s="14" t="s">
        <v>16</v>
      </c>
      <c r="E6" s="16">
        <v>0</v>
      </c>
      <c r="F6" s="16">
        <v>10</v>
      </c>
      <c r="G6" s="16">
        <v>10</v>
      </c>
      <c r="H6" s="16">
        <v>10</v>
      </c>
      <c r="I6" s="16">
        <v>10</v>
      </c>
      <c r="J6" s="16">
        <v>10</v>
      </c>
      <c r="K6" s="16">
        <v>10</v>
      </c>
      <c r="L6" s="16">
        <v>10</v>
      </c>
      <c r="M6" s="16">
        <v>10</v>
      </c>
      <c r="N6" s="16">
        <v>10</v>
      </c>
      <c r="O6" s="16">
        <v>10</v>
      </c>
      <c r="P6" s="16">
        <v>10</v>
      </c>
      <c r="Q6" s="16">
        <v>10</v>
      </c>
      <c r="R6" s="16">
        <v>10</v>
      </c>
      <c r="S6" s="19">
        <f t="shared" ref="S6:S16" si="0">AVERAGE(E6:R6)</f>
        <v>9.28571428571429</v>
      </c>
    </row>
    <row r="7" spans="2:19">
      <c r="B7" s="15">
        <v>2</v>
      </c>
      <c r="C7" s="15">
        <v>879</v>
      </c>
      <c r="D7" s="14" t="s">
        <v>17</v>
      </c>
      <c r="E7" s="16">
        <v>0</v>
      </c>
      <c r="F7" s="16">
        <v>0</v>
      </c>
      <c r="G7" s="16">
        <v>10</v>
      </c>
      <c r="H7" s="16">
        <v>10</v>
      </c>
      <c r="I7" s="16">
        <v>10</v>
      </c>
      <c r="J7" s="16">
        <v>0</v>
      </c>
      <c r="K7" s="16">
        <v>10</v>
      </c>
      <c r="L7" s="16">
        <v>10</v>
      </c>
      <c r="M7" s="16">
        <v>0</v>
      </c>
      <c r="N7" s="16">
        <v>10</v>
      </c>
      <c r="O7" s="16">
        <v>0</v>
      </c>
      <c r="P7" s="16">
        <v>10</v>
      </c>
      <c r="Q7" s="16">
        <v>10</v>
      </c>
      <c r="R7" s="16">
        <v>10</v>
      </c>
      <c r="S7" s="19">
        <f t="shared" si="0"/>
        <v>6.42857142857143</v>
      </c>
    </row>
    <row r="8" spans="2:19">
      <c r="B8" s="15">
        <v>3</v>
      </c>
      <c r="C8" s="15">
        <v>1052</v>
      </c>
      <c r="D8" s="14" t="s">
        <v>18</v>
      </c>
      <c r="E8" s="16">
        <v>0</v>
      </c>
      <c r="F8" s="16">
        <v>0</v>
      </c>
      <c r="G8" s="16">
        <v>0</v>
      </c>
      <c r="H8" s="16">
        <v>10</v>
      </c>
      <c r="I8" s="16">
        <v>0</v>
      </c>
      <c r="J8" s="16">
        <v>0</v>
      </c>
      <c r="K8" s="16">
        <v>10</v>
      </c>
      <c r="L8" s="16">
        <v>10</v>
      </c>
      <c r="M8" s="16">
        <v>0</v>
      </c>
      <c r="N8" s="16">
        <v>0</v>
      </c>
      <c r="O8" s="16">
        <v>10</v>
      </c>
      <c r="P8" s="16">
        <v>10</v>
      </c>
      <c r="Q8" s="16">
        <v>10</v>
      </c>
      <c r="R8" s="16">
        <v>10</v>
      </c>
      <c r="S8" s="19">
        <f t="shared" si="0"/>
        <v>5</v>
      </c>
    </row>
    <row r="9" spans="2:19">
      <c r="B9" s="15">
        <v>4</v>
      </c>
      <c r="C9" s="15">
        <v>1114</v>
      </c>
      <c r="D9" s="14" t="s">
        <v>19</v>
      </c>
      <c r="E9" s="16">
        <v>10</v>
      </c>
      <c r="F9" s="16">
        <v>0</v>
      </c>
      <c r="G9" s="16">
        <v>0</v>
      </c>
      <c r="H9" s="16">
        <v>10</v>
      </c>
      <c r="I9" s="16">
        <v>0</v>
      </c>
      <c r="J9" s="16">
        <v>0</v>
      </c>
      <c r="K9" s="16">
        <v>10</v>
      </c>
      <c r="L9" s="16">
        <v>10</v>
      </c>
      <c r="M9" s="16">
        <v>10</v>
      </c>
      <c r="N9" s="16">
        <v>0</v>
      </c>
      <c r="O9" s="16">
        <v>0</v>
      </c>
      <c r="P9" s="16">
        <v>10</v>
      </c>
      <c r="Q9" s="16">
        <v>10</v>
      </c>
      <c r="R9" s="16">
        <v>10</v>
      </c>
      <c r="S9" s="19">
        <f t="shared" si="0"/>
        <v>5.71428571428571</v>
      </c>
    </row>
    <row r="10" spans="2:19">
      <c r="B10" s="15">
        <v>5</v>
      </c>
      <c r="C10" s="15">
        <v>900</v>
      </c>
      <c r="D10" s="14" t="s">
        <v>20</v>
      </c>
      <c r="E10" s="16">
        <v>10</v>
      </c>
      <c r="F10" s="16">
        <v>0</v>
      </c>
      <c r="G10" s="16">
        <v>0</v>
      </c>
      <c r="H10" s="16">
        <v>10</v>
      </c>
      <c r="I10" s="16">
        <v>10</v>
      </c>
      <c r="J10" s="16">
        <v>10</v>
      </c>
      <c r="K10" s="16">
        <v>10</v>
      </c>
      <c r="L10" s="16">
        <v>10</v>
      </c>
      <c r="M10" s="16">
        <v>10</v>
      </c>
      <c r="N10" s="16">
        <v>0</v>
      </c>
      <c r="O10" s="16">
        <v>10</v>
      </c>
      <c r="P10" s="16">
        <v>10</v>
      </c>
      <c r="Q10" s="16">
        <v>10</v>
      </c>
      <c r="R10" s="16">
        <v>10</v>
      </c>
      <c r="S10" s="19">
        <f t="shared" si="0"/>
        <v>7.85714285714286</v>
      </c>
    </row>
    <row r="11" spans="2:19">
      <c r="B11" s="15">
        <v>6</v>
      </c>
      <c r="C11" s="15">
        <v>1058</v>
      </c>
      <c r="D11" s="14" t="s">
        <v>21</v>
      </c>
      <c r="E11" s="16">
        <v>0</v>
      </c>
      <c r="F11" s="16">
        <v>0</v>
      </c>
      <c r="G11" s="16">
        <v>0</v>
      </c>
      <c r="H11" s="16">
        <v>10</v>
      </c>
      <c r="I11" s="16">
        <v>10</v>
      </c>
      <c r="J11" s="16">
        <v>10</v>
      </c>
      <c r="K11" s="16">
        <v>10</v>
      </c>
      <c r="L11" s="16">
        <v>10</v>
      </c>
      <c r="M11" s="16">
        <v>0</v>
      </c>
      <c r="N11" s="16">
        <v>10</v>
      </c>
      <c r="O11" s="16">
        <v>10</v>
      </c>
      <c r="P11" s="16">
        <v>10</v>
      </c>
      <c r="Q11" s="16">
        <v>10</v>
      </c>
      <c r="R11" s="16">
        <v>10</v>
      </c>
      <c r="S11" s="19">
        <f t="shared" si="0"/>
        <v>7.14285714285714</v>
      </c>
    </row>
    <row r="12" spans="2:19">
      <c r="B12" s="15">
        <v>7</v>
      </c>
      <c r="C12" s="15">
        <v>1018</v>
      </c>
      <c r="D12" s="14" t="s">
        <v>22</v>
      </c>
      <c r="E12" s="16">
        <v>0</v>
      </c>
      <c r="F12" s="16">
        <v>0</v>
      </c>
      <c r="G12" s="16">
        <v>0</v>
      </c>
      <c r="H12" s="16">
        <v>10</v>
      </c>
      <c r="I12" s="16">
        <v>10</v>
      </c>
      <c r="J12" s="16">
        <v>0</v>
      </c>
      <c r="K12" s="16">
        <v>10</v>
      </c>
      <c r="L12" s="16">
        <v>10</v>
      </c>
      <c r="M12" s="16">
        <v>0</v>
      </c>
      <c r="N12" s="16">
        <v>10</v>
      </c>
      <c r="O12" s="16">
        <v>10</v>
      </c>
      <c r="P12" s="16">
        <v>10</v>
      </c>
      <c r="Q12" s="16">
        <v>10</v>
      </c>
      <c r="R12" s="16">
        <v>10</v>
      </c>
      <c r="S12" s="19">
        <f t="shared" si="0"/>
        <v>6.42857142857143</v>
      </c>
    </row>
    <row r="13" spans="2:19">
      <c r="B13" s="15">
        <v>8</v>
      </c>
      <c r="C13" s="15">
        <v>714</v>
      </c>
      <c r="D13" s="14" t="s">
        <v>23</v>
      </c>
      <c r="E13" s="16">
        <v>0</v>
      </c>
      <c r="F13" s="16">
        <v>0</v>
      </c>
      <c r="G13" s="16">
        <v>0</v>
      </c>
      <c r="H13" s="16">
        <v>10</v>
      </c>
      <c r="I13" s="16">
        <v>10</v>
      </c>
      <c r="J13" s="16">
        <v>0</v>
      </c>
      <c r="K13" s="16">
        <v>10</v>
      </c>
      <c r="L13" s="16">
        <v>10</v>
      </c>
      <c r="M13" s="16">
        <v>10</v>
      </c>
      <c r="N13" s="16">
        <v>0</v>
      </c>
      <c r="O13" s="16">
        <v>10</v>
      </c>
      <c r="P13" s="16">
        <v>10</v>
      </c>
      <c r="Q13" s="16">
        <v>10</v>
      </c>
      <c r="R13" s="16">
        <v>10</v>
      </c>
      <c r="S13" s="19">
        <f t="shared" si="0"/>
        <v>6.42857142857143</v>
      </c>
    </row>
    <row r="14" spans="2:19">
      <c r="B14" s="15">
        <v>9</v>
      </c>
      <c r="C14" s="15">
        <v>1010</v>
      </c>
      <c r="D14" s="14" t="s">
        <v>24</v>
      </c>
      <c r="E14" s="22">
        <v>10</v>
      </c>
      <c r="F14" s="22">
        <v>10</v>
      </c>
      <c r="G14" s="22">
        <v>10</v>
      </c>
      <c r="H14" s="16">
        <v>10</v>
      </c>
      <c r="I14" s="16">
        <v>10</v>
      </c>
      <c r="J14" s="16">
        <v>10</v>
      </c>
      <c r="K14" s="16">
        <v>10</v>
      </c>
      <c r="L14" s="16">
        <v>10</v>
      </c>
      <c r="M14" s="16">
        <v>10</v>
      </c>
      <c r="N14" s="16">
        <v>10</v>
      </c>
      <c r="O14" s="16">
        <v>10</v>
      </c>
      <c r="P14" s="16">
        <v>10</v>
      </c>
      <c r="Q14" s="16">
        <v>10</v>
      </c>
      <c r="R14" s="16">
        <v>10</v>
      </c>
      <c r="S14" s="19">
        <f t="shared" si="0"/>
        <v>10</v>
      </c>
    </row>
    <row r="15" spans="2:19">
      <c r="B15" s="15">
        <v>10</v>
      </c>
      <c r="C15" s="15">
        <v>1211</v>
      </c>
      <c r="D15" s="14" t="s">
        <v>25</v>
      </c>
      <c r="E15" s="16">
        <v>0</v>
      </c>
      <c r="F15" s="16">
        <v>0</v>
      </c>
      <c r="G15" s="16">
        <v>0</v>
      </c>
      <c r="H15" s="16">
        <v>10</v>
      </c>
      <c r="I15" s="16">
        <v>10</v>
      </c>
      <c r="J15" s="16">
        <v>10</v>
      </c>
      <c r="K15" s="16">
        <v>10</v>
      </c>
      <c r="L15" s="16">
        <v>10</v>
      </c>
      <c r="M15" s="16">
        <v>10</v>
      </c>
      <c r="N15" s="16">
        <v>10</v>
      </c>
      <c r="O15" s="16">
        <v>10</v>
      </c>
      <c r="P15" s="16">
        <v>10</v>
      </c>
      <c r="Q15" s="16">
        <v>10</v>
      </c>
      <c r="R15" s="16">
        <v>10</v>
      </c>
      <c r="S15" s="19">
        <f t="shared" si="0"/>
        <v>7.85714285714286</v>
      </c>
    </row>
    <row r="16" spans="2:19">
      <c r="B16" s="15">
        <v>11</v>
      </c>
      <c r="C16" s="15">
        <v>880</v>
      </c>
      <c r="D16" s="14" t="s">
        <v>26</v>
      </c>
      <c r="E16" s="16">
        <v>0</v>
      </c>
      <c r="F16" s="16">
        <v>0</v>
      </c>
      <c r="G16" s="16">
        <v>10</v>
      </c>
      <c r="H16" s="16">
        <v>10</v>
      </c>
      <c r="I16" s="16">
        <v>10</v>
      </c>
      <c r="J16" s="16">
        <v>10</v>
      </c>
      <c r="K16" s="16">
        <v>10</v>
      </c>
      <c r="L16" s="16">
        <v>10</v>
      </c>
      <c r="M16" s="16">
        <v>10</v>
      </c>
      <c r="N16" s="16">
        <v>10</v>
      </c>
      <c r="O16" s="16">
        <v>10</v>
      </c>
      <c r="P16" s="16">
        <v>10</v>
      </c>
      <c r="Q16" s="16">
        <v>10</v>
      </c>
      <c r="R16" s="16">
        <v>10</v>
      </c>
      <c r="S16" s="19">
        <f t="shared" si="0"/>
        <v>8.57142857142857</v>
      </c>
    </row>
  </sheetData>
  <mergeCells count="2">
    <mergeCell ref="B2:D2"/>
    <mergeCell ref="E2:S2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16"/>
  <sheetViews>
    <sheetView topLeftCell="C1" workbookViewId="0">
      <selection activeCell="Y20" sqref="Y20"/>
    </sheetView>
  </sheetViews>
  <sheetFormatPr defaultColWidth="9.10833333333333" defaultRowHeight="13.8"/>
  <cols>
    <col min="4" max="4" width="34.8833333333333" customWidth="1"/>
    <col min="5" max="5" width="4.33333333333333" customWidth="1"/>
    <col min="6" max="6" width="6.55833333333333" customWidth="1"/>
    <col min="7" max="8" width="4.55833333333333" customWidth="1"/>
    <col min="9" max="9" width="4.33333333333333" customWidth="1"/>
    <col min="10" max="10" width="4.55833333333333" customWidth="1"/>
    <col min="11" max="14" width="4.33333333333333" customWidth="1"/>
    <col min="15" max="15" width="6.55833333333333" customWidth="1"/>
    <col min="16" max="16" width="4.33333333333333" customWidth="1"/>
    <col min="17" max="20" width="6.55833333333333" customWidth="1"/>
    <col min="21" max="21" width="4.33333333333333" customWidth="1"/>
    <col min="22" max="23" width="6.55833333333333" customWidth="1"/>
    <col min="24" max="24" width="9.55833333333333" customWidth="1"/>
  </cols>
  <sheetData>
    <row r="2" spans="2:24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23.75" customHeight="1" spans="2:24">
      <c r="B3" s="2"/>
      <c r="C3" s="2"/>
      <c r="D3" s="3" t="s">
        <v>44</v>
      </c>
      <c r="E3" s="21" t="s">
        <v>45</v>
      </c>
      <c r="F3" s="21" t="s">
        <v>46</v>
      </c>
      <c r="G3" s="21" t="s">
        <v>47</v>
      </c>
      <c r="H3" s="21" t="s">
        <v>48</v>
      </c>
      <c r="I3" s="21" t="s">
        <v>49</v>
      </c>
      <c r="J3" s="21" t="s">
        <v>50</v>
      </c>
      <c r="K3" s="21" t="s">
        <v>51</v>
      </c>
      <c r="L3" s="21" t="s">
        <v>52</v>
      </c>
      <c r="M3" s="21" t="s">
        <v>53</v>
      </c>
      <c r="N3" s="21" t="s">
        <v>54</v>
      </c>
      <c r="O3" s="21" t="s">
        <v>55</v>
      </c>
      <c r="P3" s="21" t="s">
        <v>56</v>
      </c>
      <c r="Q3" s="21" t="s">
        <v>57</v>
      </c>
      <c r="R3" s="21" t="s">
        <v>58</v>
      </c>
      <c r="S3" s="21" t="s">
        <v>59</v>
      </c>
      <c r="T3" s="21" t="s">
        <v>60</v>
      </c>
      <c r="U3" s="21" t="s">
        <v>61</v>
      </c>
      <c r="V3" s="21" t="s">
        <v>62</v>
      </c>
      <c r="W3" s="21" t="s">
        <v>63</v>
      </c>
      <c r="X3" s="2"/>
    </row>
    <row r="4" spans="2:24">
      <c r="B4" s="10"/>
      <c r="C4" s="10"/>
      <c r="D4" s="11" t="s">
        <v>64</v>
      </c>
      <c r="E4" s="10">
        <v>1</v>
      </c>
      <c r="F4" s="10">
        <v>2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>
        <v>11</v>
      </c>
      <c r="P4" s="10">
        <v>12</v>
      </c>
      <c r="Q4" s="10">
        <v>13</v>
      </c>
      <c r="R4" s="10">
        <v>14</v>
      </c>
      <c r="S4" s="10">
        <v>15</v>
      </c>
      <c r="T4" s="10">
        <v>16</v>
      </c>
      <c r="U4" s="10">
        <v>17</v>
      </c>
      <c r="V4" s="10">
        <v>18</v>
      </c>
      <c r="W4" s="10">
        <v>19</v>
      </c>
      <c r="X4" s="17" t="s">
        <v>10</v>
      </c>
    </row>
    <row r="5" spans="2:30">
      <c r="B5" s="12" t="s">
        <v>13</v>
      </c>
      <c r="C5" s="12" t="s">
        <v>14</v>
      </c>
      <c r="D5" s="13" t="s">
        <v>15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8"/>
      <c r="AD5" s="20"/>
    </row>
    <row r="6" spans="2:25">
      <c r="B6" s="15">
        <v>1</v>
      </c>
      <c r="C6" s="15">
        <v>1044</v>
      </c>
      <c r="D6" s="14" t="s">
        <v>16</v>
      </c>
      <c r="E6" s="16">
        <v>10</v>
      </c>
      <c r="F6" s="16">
        <v>10</v>
      </c>
      <c r="G6" s="16">
        <v>10</v>
      </c>
      <c r="H6" s="16">
        <v>10</v>
      </c>
      <c r="I6" s="16">
        <v>10</v>
      </c>
      <c r="J6" s="16">
        <v>10</v>
      </c>
      <c r="K6" s="16">
        <v>10</v>
      </c>
      <c r="L6" s="16">
        <v>10</v>
      </c>
      <c r="M6" s="16">
        <v>10</v>
      </c>
      <c r="N6" s="16">
        <v>10</v>
      </c>
      <c r="O6" s="16">
        <v>10</v>
      </c>
      <c r="P6" s="16">
        <v>10</v>
      </c>
      <c r="Q6" s="16">
        <v>10</v>
      </c>
      <c r="R6" s="16">
        <v>10</v>
      </c>
      <c r="S6" s="16">
        <v>10</v>
      </c>
      <c r="T6" s="16">
        <v>10</v>
      </c>
      <c r="U6" s="16">
        <v>10</v>
      </c>
      <c r="V6" s="16">
        <v>10</v>
      </c>
      <c r="W6" s="16">
        <v>10</v>
      </c>
      <c r="X6" s="19">
        <f>AVERAGE(E6:W6)</f>
        <v>10</v>
      </c>
      <c r="Y6">
        <v>10</v>
      </c>
    </row>
    <row r="7" spans="2:25">
      <c r="B7" s="15">
        <v>2</v>
      </c>
      <c r="C7" s="15">
        <v>879</v>
      </c>
      <c r="D7" s="14" t="s">
        <v>17</v>
      </c>
      <c r="E7" s="16">
        <v>10</v>
      </c>
      <c r="F7" s="16">
        <v>10</v>
      </c>
      <c r="G7" s="16">
        <v>0</v>
      </c>
      <c r="H7" s="16">
        <v>10</v>
      </c>
      <c r="I7" s="16">
        <v>0</v>
      </c>
      <c r="J7" s="16">
        <v>0</v>
      </c>
      <c r="K7" s="16">
        <v>0</v>
      </c>
      <c r="L7" s="16">
        <v>10</v>
      </c>
      <c r="M7" s="16">
        <v>0</v>
      </c>
      <c r="N7" s="16">
        <v>10</v>
      </c>
      <c r="O7" s="16">
        <v>10</v>
      </c>
      <c r="P7" s="16">
        <v>10</v>
      </c>
      <c r="Q7" s="16">
        <v>0</v>
      </c>
      <c r="R7" s="16">
        <v>10</v>
      </c>
      <c r="S7" s="16">
        <v>10</v>
      </c>
      <c r="T7" s="16">
        <v>10</v>
      </c>
      <c r="U7" s="16">
        <v>10</v>
      </c>
      <c r="V7" s="16">
        <v>10</v>
      </c>
      <c r="W7" s="16">
        <v>10</v>
      </c>
      <c r="X7" s="19">
        <f t="shared" ref="X7:X16" si="0">AVERAGE(E7:W7)</f>
        <v>6.84210526315789</v>
      </c>
      <c r="Y7">
        <v>8.4</v>
      </c>
    </row>
    <row r="8" spans="2:25">
      <c r="B8" s="15">
        <v>3</v>
      </c>
      <c r="C8" s="15">
        <v>1052</v>
      </c>
      <c r="D8" s="14" t="s">
        <v>18</v>
      </c>
      <c r="E8" s="16">
        <v>10</v>
      </c>
      <c r="F8" s="16">
        <v>10</v>
      </c>
      <c r="G8" s="16">
        <v>10</v>
      </c>
      <c r="H8" s="16">
        <v>10</v>
      </c>
      <c r="I8" s="16">
        <v>10</v>
      </c>
      <c r="J8" s="16">
        <v>10</v>
      </c>
      <c r="K8" s="16">
        <v>10</v>
      </c>
      <c r="L8" s="16">
        <v>10</v>
      </c>
      <c r="M8" s="16">
        <v>10</v>
      </c>
      <c r="N8" s="16">
        <v>0</v>
      </c>
      <c r="O8" s="16">
        <v>10</v>
      </c>
      <c r="P8" s="16">
        <v>10</v>
      </c>
      <c r="Q8" s="16">
        <v>10</v>
      </c>
      <c r="R8" s="16">
        <v>10</v>
      </c>
      <c r="S8" s="16">
        <v>10</v>
      </c>
      <c r="T8" s="16">
        <v>0</v>
      </c>
      <c r="U8" s="16">
        <v>10</v>
      </c>
      <c r="V8" s="16">
        <v>10</v>
      </c>
      <c r="W8" s="16">
        <v>10</v>
      </c>
      <c r="X8" s="19">
        <f t="shared" si="0"/>
        <v>8.94736842105263</v>
      </c>
      <c r="Y8">
        <v>9.4</v>
      </c>
    </row>
    <row r="9" spans="2:25">
      <c r="B9" s="15">
        <v>4</v>
      </c>
      <c r="C9" s="15">
        <v>1114</v>
      </c>
      <c r="D9" s="14" t="s">
        <v>19</v>
      </c>
      <c r="E9" s="16">
        <v>0</v>
      </c>
      <c r="F9" s="16">
        <v>10</v>
      </c>
      <c r="G9" s="16">
        <v>10</v>
      </c>
      <c r="H9" s="16">
        <v>0</v>
      </c>
      <c r="I9" s="16">
        <v>10</v>
      </c>
      <c r="J9" s="16">
        <v>10</v>
      </c>
      <c r="K9" s="16">
        <v>10</v>
      </c>
      <c r="L9" s="16">
        <v>10</v>
      </c>
      <c r="M9" s="16">
        <v>10</v>
      </c>
      <c r="N9" s="16">
        <v>10</v>
      </c>
      <c r="O9" s="16">
        <v>0</v>
      </c>
      <c r="P9" s="16">
        <v>10</v>
      </c>
      <c r="Q9" s="16">
        <v>0</v>
      </c>
      <c r="R9" s="16">
        <v>10</v>
      </c>
      <c r="S9" s="16">
        <v>10</v>
      </c>
      <c r="T9" s="16">
        <v>0</v>
      </c>
      <c r="U9" s="16">
        <v>10</v>
      </c>
      <c r="V9" s="16">
        <v>10</v>
      </c>
      <c r="W9" s="16">
        <v>10</v>
      </c>
      <c r="X9" s="19">
        <f t="shared" si="0"/>
        <v>7.36842105263158</v>
      </c>
      <c r="Y9">
        <v>8.7</v>
      </c>
    </row>
    <row r="10" spans="2:25">
      <c r="B10" s="15">
        <v>5</v>
      </c>
      <c r="C10" s="15">
        <v>900</v>
      </c>
      <c r="D10" s="14" t="s">
        <v>20</v>
      </c>
      <c r="E10" s="16">
        <v>10</v>
      </c>
      <c r="F10" s="16">
        <v>10</v>
      </c>
      <c r="G10" s="16">
        <v>10</v>
      </c>
      <c r="H10" s="16">
        <v>10</v>
      </c>
      <c r="I10" s="16">
        <v>10</v>
      </c>
      <c r="J10" s="16">
        <v>0</v>
      </c>
      <c r="K10" s="16">
        <v>0</v>
      </c>
      <c r="L10" s="16">
        <v>10</v>
      </c>
      <c r="M10" s="16">
        <v>10</v>
      </c>
      <c r="N10" s="16">
        <v>10</v>
      </c>
      <c r="O10" s="16">
        <v>10</v>
      </c>
      <c r="P10" s="16">
        <v>10</v>
      </c>
      <c r="Q10" s="16">
        <v>10</v>
      </c>
      <c r="R10" s="16">
        <v>10</v>
      </c>
      <c r="S10" s="16">
        <v>10</v>
      </c>
      <c r="T10" s="16">
        <v>0</v>
      </c>
      <c r="U10" s="16">
        <v>10</v>
      </c>
      <c r="V10" s="16">
        <v>10</v>
      </c>
      <c r="W10" s="16">
        <v>10</v>
      </c>
      <c r="X10" s="19">
        <f t="shared" si="0"/>
        <v>8.42105263157895</v>
      </c>
      <c r="Y10">
        <v>9.4</v>
      </c>
    </row>
    <row r="11" spans="2:25">
      <c r="B11" s="15">
        <v>6</v>
      </c>
      <c r="C11" s="15">
        <v>1058</v>
      </c>
      <c r="D11" s="14" t="s">
        <v>21</v>
      </c>
      <c r="E11" s="16">
        <v>10</v>
      </c>
      <c r="F11" s="16">
        <v>10</v>
      </c>
      <c r="G11" s="16">
        <v>0</v>
      </c>
      <c r="H11" s="16">
        <v>10</v>
      </c>
      <c r="I11" s="16">
        <v>0</v>
      </c>
      <c r="J11" s="16">
        <v>10</v>
      </c>
      <c r="K11" s="16">
        <v>10</v>
      </c>
      <c r="L11" s="16">
        <v>10</v>
      </c>
      <c r="M11" s="16">
        <v>10</v>
      </c>
      <c r="N11" s="16">
        <v>0</v>
      </c>
      <c r="O11" s="16">
        <v>10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10</v>
      </c>
      <c r="W11" s="16">
        <v>10</v>
      </c>
      <c r="X11" s="19">
        <f t="shared" si="0"/>
        <v>5.26315789473684</v>
      </c>
      <c r="Y11">
        <v>7.6</v>
      </c>
    </row>
    <row r="12" spans="2:25">
      <c r="B12" s="15">
        <v>7</v>
      </c>
      <c r="C12" s="15">
        <v>1018</v>
      </c>
      <c r="D12" s="14" t="s">
        <v>22</v>
      </c>
      <c r="E12" s="16">
        <v>10</v>
      </c>
      <c r="F12" s="16">
        <v>10</v>
      </c>
      <c r="G12" s="16">
        <v>10</v>
      </c>
      <c r="H12" s="16">
        <v>10</v>
      </c>
      <c r="I12" s="16">
        <v>0</v>
      </c>
      <c r="J12" s="16">
        <v>0</v>
      </c>
      <c r="K12" s="16">
        <v>0</v>
      </c>
      <c r="L12" s="16">
        <v>10</v>
      </c>
      <c r="M12" s="16">
        <v>10</v>
      </c>
      <c r="N12" s="16">
        <v>10</v>
      </c>
      <c r="O12" s="16">
        <v>10</v>
      </c>
      <c r="P12" s="16">
        <v>10</v>
      </c>
      <c r="Q12" s="16">
        <v>10</v>
      </c>
      <c r="R12" s="16">
        <v>10</v>
      </c>
      <c r="S12" s="16">
        <v>0</v>
      </c>
      <c r="T12" s="16">
        <v>10</v>
      </c>
      <c r="U12" s="16">
        <v>10</v>
      </c>
      <c r="V12" s="16">
        <v>10</v>
      </c>
      <c r="W12" s="16">
        <v>10</v>
      </c>
      <c r="X12" s="19">
        <f t="shared" si="0"/>
        <v>7.89473684210526</v>
      </c>
      <c r="Y12">
        <v>8.9</v>
      </c>
    </row>
    <row r="13" spans="2:25">
      <c r="B13" s="15">
        <v>8</v>
      </c>
      <c r="C13" s="15">
        <v>714</v>
      </c>
      <c r="D13" s="14" t="s">
        <v>23</v>
      </c>
      <c r="E13" s="16">
        <v>10</v>
      </c>
      <c r="F13" s="16">
        <v>10</v>
      </c>
      <c r="G13" s="16">
        <v>10</v>
      </c>
      <c r="H13" s="16">
        <v>10</v>
      </c>
      <c r="I13" s="16">
        <v>10</v>
      </c>
      <c r="J13" s="16">
        <v>10</v>
      </c>
      <c r="K13" s="16">
        <v>10</v>
      </c>
      <c r="L13" s="16">
        <v>10</v>
      </c>
      <c r="M13" s="16">
        <v>10</v>
      </c>
      <c r="N13" s="16">
        <v>10</v>
      </c>
      <c r="O13" s="16">
        <v>10</v>
      </c>
      <c r="P13" s="16">
        <v>10</v>
      </c>
      <c r="Q13" s="16">
        <v>0</v>
      </c>
      <c r="R13" s="16">
        <v>0</v>
      </c>
      <c r="S13" s="16">
        <v>0</v>
      </c>
      <c r="T13" s="16">
        <v>0</v>
      </c>
      <c r="U13" s="16">
        <v>10</v>
      </c>
      <c r="V13" s="16">
        <v>10</v>
      </c>
      <c r="W13" s="16">
        <v>10</v>
      </c>
      <c r="X13" s="19">
        <f t="shared" si="0"/>
        <v>7.89473684210526</v>
      </c>
      <c r="Y13">
        <v>8.9</v>
      </c>
    </row>
    <row r="14" spans="2:25">
      <c r="B14" s="15">
        <v>9</v>
      </c>
      <c r="C14" s="15">
        <v>1010</v>
      </c>
      <c r="D14" s="14" t="s">
        <v>24</v>
      </c>
      <c r="E14" s="16">
        <v>10</v>
      </c>
      <c r="F14" s="16">
        <v>10</v>
      </c>
      <c r="G14" s="16">
        <v>10</v>
      </c>
      <c r="H14" s="16">
        <v>10</v>
      </c>
      <c r="I14" s="16">
        <v>10</v>
      </c>
      <c r="J14" s="16">
        <v>10</v>
      </c>
      <c r="K14" s="16">
        <v>10</v>
      </c>
      <c r="L14" s="16">
        <v>10</v>
      </c>
      <c r="M14" s="16">
        <v>10</v>
      </c>
      <c r="N14" s="16">
        <v>10</v>
      </c>
      <c r="O14" s="16">
        <v>10</v>
      </c>
      <c r="P14" s="16">
        <v>10</v>
      </c>
      <c r="Q14" s="22">
        <v>10</v>
      </c>
      <c r="R14" s="16">
        <v>10</v>
      </c>
      <c r="S14" s="16">
        <v>10</v>
      </c>
      <c r="T14" s="16">
        <v>10</v>
      </c>
      <c r="U14" s="16">
        <v>10</v>
      </c>
      <c r="V14" s="16">
        <v>10</v>
      </c>
      <c r="W14" s="16">
        <v>10</v>
      </c>
      <c r="X14" s="19">
        <f t="shared" si="0"/>
        <v>10</v>
      </c>
      <c r="Y14">
        <v>10</v>
      </c>
    </row>
    <row r="15" spans="2:25">
      <c r="B15" s="15">
        <v>10</v>
      </c>
      <c r="C15" s="15">
        <v>1211</v>
      </c>
      <c r="D15" s="14" t="s">
        <v>25</v>
      </c>
      <c r="E15" s="16">
        <v>10</v>
      </c>
      <c r="F15" s="16">
        <v>0</v>
      </c>
      <c r="G15" s="16">
        <v>0</v>
      </c>
      <c r="H15" s="16">
        <v>10</v>
      </c>
      <c r="I15" s="16">
        <v>10</v>
      </c>
      <c r="J15" s="16">
        <v>10</v>
      </c>
      <c r="K15" s="16">
        <v>10</v>
      </c>
      <c r="L15" s="16">
        <v>10</v>
      </c>
      <c r="M15" s="16">
        <v>10</v>
      </c>
      <c r="N15" s="16">
        <v>10</v>
      </c>
      <c r="O15" s="16">
        <v>10</v>
      </c>
      <c r="P15" s="16">
        <v>10</v>
      </c>
      <c r="Q15" s="16">
        <v>10</v>
      </c>
      <c r="R15" s="16">
        <v>10</v>
      </c>
      <c r="S15" s="16">
        <v>10</v>
      </c>
      <c r="T15" s="16">
        <v>10</v>
      </c>
      <c r="U15" s="16">
        <v>10</v>
      </c>
      <c r="V15" s="16">
        <v>10</v>
      </c>
      <c r="W15" s="16">
        <v>10</v>
      </c>
      <c r="X15" s="19">
        <f t="shared" si="0"/>
        <v>8.94736842105263</v>
      </c>
      <c r="Y15">
        <v>9.4</v>
      </c>
    </row>
    <row r="16" spans="2:25">
      <c r="B16" s="15">
        <v>11</v>
      </c>
      <c r="C16" s="15">
        <v>880</v>
      </c>
      <c r="D16" s="14" t="s">
        <v>26</v>
      </c>
      <c r="E16" s="16">
        <v>10</v>
      </c>
      <c r="F16" s="16">
        <v>10</v>
      </c>
      <c r="G16" s="16">
        <v>10</v>
      </c>
      <c r="H16" s="16">
        <v>10</v>
      </c>
      <c r="I16" s="16">
        <v>10</v>
      </c>
      <c r="J16" s="16">
        <v>10</v>
      </c>
      <c r="K16" s="16">
        <v>0</v>
      </c>
      <c r="L16" s="16">
        <v>10</v>
      </c>
      <c r="M16" s="16">
        <v>0</v>
      </c>
      <c r="N16" s="16">
        <v>10</v>
      </c>
      <c r="O16" s="16">
        <v>10</v>
      </c>
      <c r="P16" s="16">
        <v>10</v>
      </c>
      <c r="Q16" s="16">
        <v>10</v>
      </c>
      <c r="R16" s="16">
        <v>10</v>
      </c>
      <c r="S16" s="16">
        <v>10</v>
      </c>
      <c r="T16" s="16">
        <v>10</v>
      </c>
      <c r="U16" s="16">
        <v>10</v>
      </c>
      <c r="V16" s="16">
        <v>10</v>
      </c>
      <c r="W16" s="16">
        <v>10</v>
      </c>
      <c r="X16" s="19">
        <f t="shared" si="0"/>
        <v>8.94736842105263</v>
      </c>
      <c r="Y16">
        <v>9.4</v>
      </c>
    </row>
  </sheetData>
  <mergeCells count="2">
    <mergeCell ref="B2:D2"/>
    <mergeCell ref="E2:X2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I17"/>
  <sheetViews>
    <sheetView workbookViewId="0">
      <selection activeCell="G6" sqref="G6"/>
    </sheetView>
  </sheetViews>
  <sheetFormatPr defaultColWidth="9.10833333333333" defaultRowHeight="13.8"/>
  <cols>
    <col min="4" max="4" width="34.8833333333333" customWidth="1"/>
    <col min="5" max="28" width="4.33333333333333" customWidth="1"/>
    <col min="29" max="29" width="9.55833333333333" customWidth="1"/>
  </cols>
  <sheetData>
    <row r="2" spans="2:29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23.75" customHeight="1" spans="2:29">
      <c r="B3" s="2"/>
      <c r="C3" s="2"/>
      <c r="D3" s="3" t="s">
        <v>44</v>
      </c>
      <c r="E3" s="4" t="s">
        <v>65</v>
      </c>
      <c r="F3" s="5"/>
      <c r="G3" s="5"/>
      <c r="H3" s="6"/>
      <c r="I3" s="4" t="s">
        <v>66</v>
      </c>
      <c r="J3" s="5"/>
      <c r="K3" s="5"/>
      <c r="L3" s="6"/>
      <c r="M3" s="4" t="s">
        <v>67</v>
      </c>
      <c r="N3" s="5"/>
      <c r="O3" s="5"/>
      <c r="P3" s="6"/>
      <c r="Q3" s="4" t="s">
        <v>58</v>
      </c>
      <c r="R3" s="5"/>
      <c r="S3" s="5"/>
      <c r="T3" s="6"/>
      <c r="U3" s="4" t="s">
        <v>68</v>
      </c>
      <c r="V3" s="5"/>
      <c r="W3" s="5"/>
      <c r="X3" s="6"/>
      <c r="Y3" s="4" t="s">
        <v>69</v>
      </c>
      <c r="Z3" s="5"/>
      <c r="AA3" s="5"/>
      <c r="AB3" s="6"/>
      <c r="AC3" s="2"/>
    </row>
    <row r="4" ht="16.5" customHeight="1" spans="2:29">
      <c r="B4" s="2"/>
      <c r="C4" s="2"/>
      <c r="D4" s="3"/>
      <c r="E4" s="7" t="s">
        <v>70</v>
      </c>
      <c r="F4" s="8"/>
      <c r="G4" s="8"/>
      <c r="H4" s="9"/>
      <c r="I4" s="7" t="s">
        <v>70</v>
      </c>
      <c r="J4" s="8"/>
      <c r="K4" s="8"/>
      <c r="L4" s="9"/>
      <c r="M4" s="7" t="s">
        <v>71</v>
      </c>
      <c r="N4" s="8"/>
      <c r="O4" s="8"/>
      <c r="P4" s="9"/>
      <c r="Q4" s="7" t="s">
        <v>71</v>
      </c>
      <c r="R4" s="8"/>
      <c r="S4" s="8"/>
      <c r="T4" s="9"/>
      <c r="U4" s="7" t="s">
        <v>72</v>
      </c>
      <c r="V4" s="8"/>
      <c r="W4" s="8"/>
      <c r="X4" s="9"/>
      <c r="Y4" s="7" t="s">
        <v>72</v>
      </c>
      <c r="Z4" s="8"/>
      <c r="AA4" s="8"/>
      <c r="AB4" s="9"/>
      <c r="AC4" s="2"/>
    </row>
    <row r="5" spans="2:29">
      <c r="B5" s="10"/>
      <c r="C5" s="10"/>
      <c r="D5" s="11" t="s">
        <v>73</v>
      </c>
      <c r="E5" s="10">
        <v>56</v>
      </c>
      <c r="F5" s="10">
        <v>57</v>
      </c>
      <c r="G5" s="10">
        <v>58</v>
      </c>
      <c r="H5" s="10">
        <v>59</v>
      </c>
      <c r="I5" s="10">
        <v>60</v>
      </c>
      <c r="J5" s="10">
        <v>61</v>
      </c>
      <c r="K5" s="10">
        <v>62</v>
      </c>
      <c r="L5" s="10">
        <v>63</v>
      </c>
      <c r="M5" s="10">
        <v>24</v>
      </c>
      <c r="N5" s="10">
        <v>25</v>
      </c>
      <c r="O5" s="10">
        <v>26</v>
      </c>
      <c r="P5" s="10">
        <v>27</v>
      </c>
      <c r="Q5" s="10">
        <v>28</v>
      </c>
      <c r="R5" s="10">
        <v>29</v>
      </c>
      <c r="S5" s="10">
        <v>30</v>
      </c>
      <c r="T5" s="10">
        <v>31</v>
      </c>
      <c r="U5" s="10">
        <v>24</v>
      </c>
      <c r="V5" s="10">
        <v>25</v>
      </c>
      <c r="W5" s="10">
        <v>26</v>
      </c>
      <c r="X5" s="10">
        <v>27</v>
      </c>
      <c r="Y5" s="10">
        <v>28</v>
      </c>
      <c r="Z5" s="10">
        <v>29</v>
      </c>
      <c r="AA5" s="10">
        <v>30</v>
      </c>
      <c r="AB5" s="10">
        <v>31</v>
      </c>
      <c r="AC5" s="17" t="s">
        <v>10</v>
      </c>
    </row>
    <row r="6" spans="2:35">
      <c r="B6" s="12" t="s">
        <v>13</v>
      </c>
      <c r="C6" s="12" t="s">
        <v>14</v>
      </c>
      <c r="D6" s="13" t="s">
        <v>15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8"/>
      <c r="AI6" s="20"/>
    </row>
    <row r="7" spans="2:29">
      <c r="B7" s="15">
        <v>1</v>
      </c>
      <c r="C7" s="15">
        <v>1044</v>
      </c>
      <c r="D7" s="14" t="s">
        <v>16</v>
      </c>
      <c r="E7" s="16">
        <v>10</v>
      </c>
      <c r="F7" s="16">
        <v>10</v>
      </c>
      <c r="G7" s="16">
        <v>10</v>
      </c>
      <c r="H7" s="16">
        <v>10</v>
      </c>
      <c r="I7" s="16">
        <v>10</v>
      </c>
      <c r="J7" s="16">
        <v>10</v>
      </c>
      <c r="K7" s="16">
        <v>10</v>
      </c>
      <c r="L7" s="16">
        <v>10</v>
      </c>
      <c r="M7" s="16">
        <v>10</v>
      </c>
      <c r="N7" s="16">
        <v>10</v>
      </c>
      <c r="O7" s="16">
        <v>10</v>
      </c>
      <c r="P7" s="16">
        <v>10</v>
      </c>
      <c r="Q7" s="16">
        <v>10</v>
      </c>
      <c r="R7" s="16">
        <v>10</v>
      </c>
      <c r="S7" s="16">
        <v>10</v>
      </c>
      <c r="T7" s="16">
        <v>10</v>
      </c>
      <c r="U7" s="16">
        <v>10</v>
      </c>
      <c r="V7" s="16">
        <v>10</v>
      </c>
      <c r="W7" s="16">
        <v>10</v>
      </c>
      <c r="X7" s="16">
        <v>10</v>
      </c>
      <c r="Y7" s="16">
        <v>10</v>
      </c>
      <c r="Z7" s="16">
        <v>10</v>
      </c>
      <c r="AA7" s="16">
        <v>10</v>
      </c>
      <c r="AB7" s="16">
        <v>10</v>
      </c>
      <c r="AC7" s="19">
        <f>AVERAGE(E7:AB7)</f>
        <v>10</v>
      </c>
    </row>
    <row r="8" spans="2:29">
      <c r="B8" s="15">
        <v>2</v>
      </c>
      <c r="C8" s="15">
        <v>879</v>
      </c>
      <c r="D8" s="14" t="s">
        <v>17</v>
      </c>
      <c r="E8" s="16">
        <v>10</v>
      </c>
      <c r="F8" s="16">
        <v>10</v>
      </c>
      <c r="G8" s="16">
        <v>10</v>
      </c>
      <c r="H8" s="16">
        <v>10</v>
      </c>
      <c r="I8" s="16">
        <v>10</v>
      </c>
      <c r="J8" s="16">
        <v>10</v>
      </c>
      <c r="K8" s="16">
        <v>10</v>
      </c>
      <c r="L8" s="16">
        <v>10</v>
      </c>
      <c r="M8" s="16">
        <v>10</v>
      </c>
      <c r="N8" s="16">
        <v>10</v>
      </c>
      <c r="O8" s="16">
        <v>10</v>
      </c>
      <c r="P8" s="16">
        <v>10</v>
      </c>
      <c r="Q8" s="16">
        <v>10</v>
      </c>
      <c r="R8" s="16">
        <v>10</v>
      </c>
      <c r="S8" s="16">
        <v>10</v>
      </c>
      <c r="T8" s="16">
        <v>10</v>
      </c>
      <c r="U8" s="16">
        <v>10</v>
      </c>
      <c r="V8" s="16">
        <v>10</v>
      </c>
      <c r="W8" s="16">
        <v>10</v>
      </c>
      <c r="X8" s="16">
        <v>10</v>
      </c>
      <c r="Y8" s="16">
        <v>10</v>
      </c>
      <c r="Z8" s="16">
        <v>10</v>
      </c>
      <c r="AA8" s="16">
        <v>10</v>
      </c>
      <c r="AB8" s="16">
        <v>10</v>
      </c>
      <c r="AC8" s="19">
        <f t="shared" ref="AC8:AC17" si="0">AVERAGE(E8:AB8)</f>
        <v>10</v>
      </c>
    </row>
    <row r="9" spans="2:29">
      <c r="B9" s="15">
        <v>3</v>
      </c>
      <c r="C9" s="15">
        <v>1052</v>
      </c>
      <c r="D9" s="14" t="s">
        <v>18</v>
      </c>
      <c r="E9" s="16">
        <v>10</v>
      </c>
      <c r="F9" s="16">
        <v>10</v>
      </c>
      <c r="G9" s="16">
        <v>10</v>
      </c>
      <c r="H9" s="16">
        <v>10</v>
      </c>
      <c r="I9" s="16">
        <v>10</v>
      </c>
      <c r="J9" s="16">
        <v>10</v>
      </c>
      <c r="K9" s="16">
        <v>10</v>
      </c>
      <c r="L9" s="16">
        <v>10</v>
      </c>
      <c r="M9" s="16">
        <v>10</v>
      </c>
      <c r="N9" s="16">
        <v>10</v>
      </c>
      <c r="O9" s="16">
        <v>10</v>
      </c>
      <c r="P9" s="16">
        <v>10</v>
      </c>
      <c r="Q9" s="16">
        <v>10</v>
      </c>
      <c r="R9" s="16">
        <v>10</v>
      </c>
      <c r="S9" s="16">
        <v>10</v>
      </c>
      <c r="T9" s="16">
        <v>10</v>
      </c>
      <c r="U9" s="16">
        <v>10</v>
      </c>
      <c r="V9" s="16">
        <v>10</v>
      </c>
      <c r="W9" s="16">
        <v>10</v>
      </c>
      <c r="X9" s="16">
        <v>10</v>
      </c>
      <c r="Y9" s="16">
        <v>10</v>
      </c>
      <c r="Z9" s="16">
        <v>10</v>
      </c>
      <c r="AA9" s="16">
        <v>10</v>
      </c>
      <c r="AB9" s="16">
        <v>10</v>
      </c>
      <c r="AC9" s="19">
        <f t="shared" si="0"/>
        <v>10</v>
      </c>
    </row>
    <row r="10" spans="2:29">
      <c r="B10" s="15">
        <v>4</v>
      </c>
      <c r="C10" s="15">
        <v>1114</v>
      </c>
      <c r="D10" s="14" t="s">
        <v>19</v>
      </c>
      <c r="E10" s="16">
        <v>10</v>
      </c>
      <c r="F10" s="16">
        <v>10</v>
      </c>
      <c r="G10" s="16">
        <v>10</v>
      </c>
      <c r="H10" s="16">
        <v>10</v>
      </c>
      <c r="I10" s="16">
        <v>10</v>
      </c>
      <c r="J10" s="16">
        <v>10</v>
      </c>
      <c r="K10" s="16">
        <v>10</v>
      </c>
      <c r="L10" s="16">
        <v>10</v>
      </c>
      <c r="M10" s="16">
        <v>10</v>
      </c>
      <c r="N10" s="16">
        <v>10</v>
      </c>
      <c r="O10" s="16">
        <v>10</v>
      </c>
      <c r="P10" s="16">
        <v>10</v>
      </c>
      <c r="Q10" s="16">
        <v>10</v>
      </c>
      <c r="R10" s="16">
        <v>10</v>
      </c>
      <c r="S10" s="16">
        <v>10</v>
      </c>
      <c r="T10" s="16">
        <v>10</v>
      </c>
      <c r="U10" s="16">
        <v>10</v>
      </c>
      <c r="V10" s="16">
        <v>10</v>
      </c>
      <c r="W10" s="16">
        <v>10</v>
      </c>
      <c r="X10" s="16">
        <v>10</v>
      </c>
      <c r="Y10" s="16">
        <v>10</v>
      </c>
      <c r="Z10" s="16">
        <v>10</v>
      </c>
      <c r="AA10" s="16">
        <v>10</v>
      </c>
      <c r="AB10" s="16">
        <v>10</v>
      </c>
      <c r="AC10" s="19">
        <f t="shared" si="0"/>
        <v>10</v>
      </c>
    </row>
    <row r="11" spans="2:29">
      <c r="B11" s="15">
        <v>5</v>
      </c>
      <c r="C11" s="15">
        <v>900</v>
      </c>
      <c r="D11" s="14" t="s">
        <v>20</v>
      </c>
      <c r="E11" s="16">
        <v>10</v>
      </c>
      <c r="F11" s="16">
        <v>10</v>
      </c>
      <c r="G11" s="16">
        <v>10</v>
      </c>
      <c r="H11" s="16">
        <v>10</v>
      </c>
      <c r="I11" s="16">
        <v>10</v>
      </c>
      <c r="J11" s="16">
        <v>10</v>
      </c>
      <c r="K11" s="16">
        <v>10</v>
      </c>
      <c r="L11" s="16">
        <v>10</v>
      </c>
      <c r="M11" s="16">
        <v>10</v>
      </c>
      <c r="N11" s="16">
        <v>10</v>
      </c>
      <c r="O11" s="16">
        <v>10</v>
      </c>
      <c r="P11" s="16">
        <v>10</v>
      </c>
      <c r="Q11" s="16">
        <v>10</v>
      </c>
      <c r="R11" s="16">
        <v>10</v>
      </c>
      <c r="S11" s="16">
        <v>10</v>
      </c>
      <c r="T11" s="16">
        <v>10</v>
      </c>
      <c r="U11" s="16">
        <v>10</v>
      </c>
      <c r="V11" s="16">
        <v>10</v>
      </c>
      <c r="W11" s="16">
        <v>10</v>
      </c>
      <c r="X11" s="16">
        <v>10</v>
      </c>
      <c r="Y11" s="16">
        <v>10</v>
      </c>
      <c r="Z11" s="16">
        <v>10</v>
      </c>
      <c r="AA11" s="16">
        <v>10</v>
      </c>
      <c r="AB11" s="16">
        <v>10</v>
      </c>
      <c r="AC11" s="19">
        <f t="shared" si="0"/>
        <v>10</v>
      </c>
    </row>
    <row r="12" spans="2:29">
      <c r="B12" s="15">
        <v>6</v>
      </c>
      <c r="C12" s="15">
        <v>1058</v>
      </c>
      <c r="D12" s="14" t="s">
        <v>21</v>
      </c>
      <c r="E12" s="16">
        <v>10</v>
      </c>
      <c r="F12" s="16">
        <v>10</v>
      </c>
      <c r="G12" s="16">
        <v>10</v>
      </c>
      <c r="H12" s="16">
        <v>10</v>
      </c>
      <c r="I12" s="16">
        <v>10</v>
      </c>
      <c r="J12" s="16">
        <v>10</v>
      </c>
      <c r="K12" s="16">
        <v>10</v>
      </c>
      <c r="L12" s="16">
        <v>10</v>
      </c>
      <c r="M12" s="16">
        <v>10</v>
      </c>
      <c r="N12" s="16">
        <v>10</v>
      </c>
      <c r="O12" s="16">
        <v>10</v>
      </c>
      <c r="P12" s="16">
        <v>10</v>
      </c>
      <c r="Q12" s="16">
        <v>10</v>
      </c>
      <c r="R12" s="16">
        <v>10</v>
      </c>
      <c r="S12" s="16">
        <v>10</v>
      </c>
      <c r="T12" s="16">
        <v>10</v>
      </c>
      <c r="U12" s="16">
        <v>10</v>
      </c>
      <c r="V12" s="16">
        <v>10</v>
      </c>
      <c r="W12" s="16">
        <v>10</v>
      </c>
      <c r="X12" s="16">
        <v>10</v>
      </c>
      <c r="Y12" s="16">
        <v>10</v>
      </c>
      <c r="Z12" s="16">
        <v>10</v>
      </c>
      <c r="AA12" s="16">
        <v>10</v>
      </c>
      <c r="AB12" s="16">
        <v>10</v>
      </c>
      <c r="AC12" s="19">
        <f t="shared" si="0"/>
        <v>10</v>
      </c>
    </row>
    <row r="13" spans="2:29">
      <c r="B13" s="15">
        <v>7</v>
      </c>
      <c r="C13" s="15">
        <v>1018</v>
      </c>
      <c r="D13" s="14" t="s">
        <v>22</v>
      </c>
      <c r="E13" s="16">
        <v>10</v>
      </c>
      <c r="F13" s="16">
        <v>10</v>
      </c>
      <c r="G13" s="16">
        <v>10</v>
      </c>
      <c r="H13" s="16">
        <v>10</v>
      </c>
      <c r="I13" s="16">
        <v>10</v>
      </c>
      <c r="J13" s="16">
        <v>10</v>
      </c>
      <c r="K13" s="16">
        <v>10</v>
      </c>
      <c r="L13" s="16">
        <v>10</v>
      </c>
      <c r="M13" s="16">
        <v>10</v>
      </c>
      <c r="N13" s="16">
        <v>10</v>
      </c>
      <c r="O13" s="16">
        <v>10</v>
      </c>
      <c r="P13" s="16">
        <v>10</v>
      </c>
      <c r="Q13" s="16">
        <v>10</v>
      </c>
      <c r="R13" s="16">
        <v>10</v>
      </c>
      <c r="S13" s="16">
        <v>10</v>
      </c>
      <c r="T13" s="16">
        <v>10</v>
      </c>
      <c r="U13" s="16">
        <v>10</v>
      </c>
      <c r="V13" s="16">
        <v>10</v>
      </c>
      <c r="W13" s="16">
        <v>10</v>
      </c>
      <c r="X13" s="16">
        <v>10</v>
      </c>
      <c r="Y13" s="16">
        <v>10</v>
      </c>
      <c r="Z13" s="16">
        <v>10</v>
      </c>
      <c r="AA13" s="16">
        <v>10</v>
      </c>
      <c r="AB13" s="16">
        <v>10</v>
      </c>
      <c r="AC13" s="19">
        <f t="shared" si="0"/>
        <v>10</v>
      </c>
    </row>
    <row r="14" spans="2:29">
      <c r="B14" s="15">
        <v>8</v>
      </c>
      <c r="C14" s="15">
        <v>714</v>
      </c>
      <c r="D14" s="14" t="s">
        <v>23</v>
      </c>
      <c r="E14" s="16">
        <v>10</v>
      </c>
      <c r="F14" s="16">
        <v>10</v>
      </c>
      <c r="G14" s="16">
        <v>10</v>
      </c>
      <c r="H14" s="16">
        <v>10</v>
      </c>
      <c r="I14" s="16">
        <v>10</v>
      </c>
      <c r="J14" s="16">
        <v>10</v>
      </c>
      <c r="K14" s="16">
        <v>10</v>
      </c>
      <c r="L14" s="16">
        <v>10</v>
      </c>
      <c r="M14" s="16">
        <v>10</v>
      </c>
      <c r="N14" s="16">
        <v>10</v>
      </c>
      <c r="O14" s="16">
        <v>10</v>
      </c>
      <c r="P14" s="16">
        <v>10</v>
      </c>
      <c r="Q14" s="16">
        <v>10</v>
      </c>
      <c r="R14" s="16">
        <v>10</v>
      </c>
      <c r="S14" s="16">
        <v>10</v>
      </c>
      <c r="T14" s="16">
        <v>10</v>
      </c>
      <c r="U14" s="16">
        <v>10</v>
      </c>
      <c r="V14" s="16">
        <v>10</v>
      </c>
      <c r="W14" s="16">
        <v>10</v>
      </c>
      <c r="X14" s="16">
        <v>10</v>
      </c>
      <c r="Y14" s="16">
        <v>10</v>
      </c>
      <c r="Z14" s="16">
        <v>10</v>
      </c>
      <c r="AA14" s="16">
        <v>10</v>
      </c>
      <c r="AB14" s="16">
        <v>10</v>
      </c>
      <c r="AC14" s="19">
        <f t="shared" si="0"/>
        <v>10</v>
      </c>
    </row>
    <row r="15" spans="2:29">
      <c r="B15" s="15">
        <v>9</v>
      </c>
      <c r="C15" s="15">
        <v>1010</v>
      </c>
      <c r="D15" s="14" t="s">
        <v>24</v>
      </c>
      <c r="E15" s="16">
        <v>10</v>
      </c>
      <c r="F15" s="16">
        <v>10</v>
      </c>
      <c r="G15" s="16">
        <v>10</v>
      </c>
      <c r="H15" s="16">
        <v>10</v>
      </c>
      <c r="I15" s="16">
        <v>10</v>
      </c>
      <c r="J15" s="16">
        <v>10</v>
      </c>
      <c r="K15" s="16">
        <v>10</v>
      </c>
      <c r="L15" s="16">
        <v>10</v>
      </c>
      <c r="M15" s="16">
        <v>10</v>
      </c>
      <c r="N15" s="16">
        <v>10</v>
      </c>
      <c r="O15" s="16">
        <v>10</v>
      </c>
      <c r="P15" s="16">
        <v>10</v>
      </c>
      <c r="Q15" s="16">
        <v>10</v>
      </c>
      <c r="R15" s="16">
        <v>10</v>
      </c>
      <c r="S15" s="16">
        <v>10</v>
      </c>
      <c r="T15" s="16">
        <v>10</v>
      </c>
      <c r="U15" s="16">
        <v>10</v>
      </c>
      <c r="V15" s="16">
        <v>10</v>
      </c>
      <c r="W15" s="16">
        <v>10</v>
      </c>
      <c r="X15" s="16">
        <v>10</v>
      </c>
      <c r="Y15" s="16">
        <v>10</v>
      </c>
      <c r="Z15" s="16">
        <v>10</v>
      </c>
      <c r="AA15" s="16">
        <v>10</v>
      </c>
      <c r="AB15" s="16">
        <v>10</v>
      </c>
      <c r="AC15" s="19">
        <f t="shared" si="0"/>
        <v>10</v>
      </c>
    </row>
    <row r="16" spans="2:29">
      <c r="B16" s="15">
        <v>10</v>
      </c>
      <c r="C16" s="15">
        <v>1211</v>
      </c>
      <c r="D16" s="14" t="s">
        <v>25</v>
      </c>
      <c r="E16" s="16">
        <v>10</v>
      </c>
      <c r="F16" s="16">
        <v>10</v>
      </c>
      <c r="G16" s="16">
        <v>10</v>
      </c>
      <c r="H16" s="16">
        <v>10</v>
      </c>
      <c r="I16" s="16">
        <v>10</v>
      </c>
      <c r="J16" s="16">
        <v>10</v>
      </c>
      <c r="K16" s="16">
        <v>10</v>
      </c>
      <c r="L16" s="16">
        <v>10</v>
      </c>
      <c r="M16" s="16">
        <v>10</v>
      </c>
      <c r="N16" s="16">
        <v>10</v>
      </c>
      <c r="O16" s="16">
        <v>10</v>
      </c>
      <c r="P16" s="16">
        <v>10</v>
      </c>
      <c r="Q16" s="16">
        <v>10</v>
      </c>
      <c r="R16" s="16">
        <v>10</v>
      </c>
      <c r="S16" s="16">
        <v>10</v>
      </c>
      <c r="T16" s="16">
        <v>10</v>
      </c>
      <c r="U16" s="16">
        <v>10</v>
      </c>
      <c r="V16" s="16">
        <v>10</v>
      </c>
      <c r="W16" s="16">
        <v>10</v>
      </c>
      <c r="X16" s="16">
        <v>10</v>
      </c>
      <c r="Y16" s="16">
        <v>10</v>
      </c>
      <c r="Z16" s="16">
        <v>10</v>
      </c>
      <c r="AA16" s="16">
        <v>10</v>
      </c>
      <c r="AB16" s="16">
        <v>10</v>
      </c>
      <c r="AC16" s="19">
        <f t="shared" si="0"/>
        <v>10</v>
      </c>
    </row>
    <row r="17" spans="2:29">
      <c r="B17" s="15">
        <v>11</v>
      </c>
      <c r="C17" s="15">
        <v>880</v>
      </c>
      <c r="D17" s="14" t="s">
        <v>26</v>
      </c>
      <c r="E17" s="16">
        <v>10</v>
      </c>
      <c r="F17" s="16">
        <v>10</v>
      </c>
      <c r="G17" s="16">
        <v>10</v>
      </c>
      <c r="H17" s="16">
        <v>10</v>
      </c>
      <c r="I17" s="16">
        <v>10</v>
      </c>
      <c r="J17" s="16">
        <v>10</v>
      </c>
      <c r="K17" s="16">
        <v>10</v>
      </c>
      <c r="L17" s="16">
        <v>10</v>
      </c>
      <c r="M17" s="16">
        <v>10</v>
      </c>
      <c r="N17" s="16">
        <v>10</v>
      </c>
      <c r="O17" s="16">
        <v>10</v>
      </c>
      <c r="P17" s="16">
        <v>10</v>
      </c>
      <c r="Q17" s="16">
        <v>10</v>
      </c>
      <c r="R17" s="16">
        <v>10</v>
      </c>
      <c r="S17" s="16">
        <v>10</v>
      </c>
      <c r="T17" s="16">
        <v>10</v>
      </c>
      <c r="U17" s="16">
        <v>10</v>
      </c>
      <c r="V17" s="16">
        <v>10</v>
      </c>
      <c r="W17" s="16">
        <v>10</v>
      </c>
      <c r="X17" s="16">
        <v>10</v>
      </c>
      <c r="Y17" s="16">
        <v>10</v>
      </c>
      <c r="Z17" s="16">
        <v>10</v>
      </c>
      <c r="AA17" s="16">
        <v>10</v>
      </c>
      <c r="AB17" s="16">
        <v>10</v>
      </c>
      <c r="AC17" s="19">
        <f t="shared" si="0"/>
        <v>10</v>
      </c>
    </row>
  </sheetData>
  <mergeCells count="14">
    <mergeCell ref="B2:D2"/>
    <mergeCell ref="E2:AC2"/>
    <mergeCell ref="E3:H3"/>
    <mergeCell ref="I3:L3"/>
    <mergeCell ref="M3:P3"/>
    <mergeCell ref="Q3:T3"/>
    <mergeCell ref="U3:X3"/>
    <mergeCell ref="Y3:AB3"/>
    <mergeCell ref="E4:H4"/>
    <mergeCell ref="I4:L4"/>
    <mergeCell ref="M4:P4"/>
    <mergeCell ref="Q4:T4"/>
    <mergeCell ref="U4:X4"/>
    <mergeCell ref="Y4:AB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Calificaciones</vt:lpstr>
      <vt:lpstr>Tareas</vt:lpstr>
      <vt:lpstr>Cuaderno</vt:lpstr>
      <vt:lpstr>Libro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activ</cp:lastModifiedBy>
  <dcterms:created xsi:type="dcterms:W3CDTF">2025-11-01T17:31:00Z</dcterms:created>
  <dcterms:modified xsi:type="dcterms:W3CDTF">2025-11-14T18:07:14Z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56E54AA9823447ACBE02F29AEF9CA9A8_12</vt:lpwstr>
  </property>
  <property fmtid="{D5CDD505-2E9C-101B-9397-08002B2CF9AE}" pid="3" name="KSOProductBuildVer">
    <vt:lpwstr>2058-12.2.0.23155</vt:lpwstr>
  </property>
</Properties>
</file>