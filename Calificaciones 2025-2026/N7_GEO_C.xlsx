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Calificaciones" sheetId="3" r:id="rId1"/>
    <sheet name="TAREAS  " sheetId="4" r:id="rId2"/>
    <sheet name="OTRA " sheetId="1" r:id="rId3"/>
    <sheet name="INCIDENCIA 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<sst xmlns="http://schemas.openxmlformats.org/spreadsheetml/2006/main" count="244" uniqueCount="161">
  <si>
    <t>N7 SECUNDARIA 1°A</t>
  </si>
  <si>
    <t>Geografía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</si>
  <si>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</si>
  <si>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</si>
  <si>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</si>
  <si>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</si>
  <si>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</si>
  <si>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</si>
  <si>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</si>
  <si>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</si>
  <si>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</si>
  <si>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</si>
  <si>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</si>
  <si>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</si>
  <si>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</si>
  <si>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</si>
  <si>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Barbosa Leon Damian Alejandro</t>
  </si>
  <si>
    <t>Barragan Canela Leonela Nicole</t>
  </si>
  <si>
    <t>Barrera Ortega Ximena Paola</t>
  </si>
  <si>
    <t>Bernal Serrano Jessica Liliana</t>
  </si>
  <si>
    <t>Castillo Lopez Carlos Gael</t>
  </si>
  <si>
    <t>Cárdenas Calá Antonella</t>
  </si>
  <si>
    <t>Cruz Gama Mateo Emiliano</t>
  </si>
  <si>
    <t>Cueva Rangel Oswaldo Eleazar</t>
  </si>
  <si>
    <t>Dávalos Sánchez Francisco Tadeo</t>
  </si>
  <si>
    <t>Díaz Elizalde Sofía</t>
  </si>
  <si>
    <t>Espinoza Gonzalez Leonardo Daniel</t>
  </si>
  <si>
    <t>Fuentes Fernandez Maximo Dario</t>
  </si>
  <si>
    <t>PPRIM242550</t>
  </si>
  <si>
    <t>Gonzalez Parra Amanda Rhomina</t>
  </si>
  <si>
    <t>Gonzalez Soto Adiel Emiliano</t>
  </si>
  <si>
    <t>González de la Cerda Isaías Daniel</t>
  </si>
  <si>
    <t>Hernández Félix Neizan Jesús</t>
  </si>
  <si>
    <t>Hernández López Santiago Matías</t>
  </si>
  <si>
    <t>Irineo Navarro Sofia Esmeralda</t>
  </si>
  <si>
    <t>Ivañez Duran Tadeo Salvador</t>
  </si>
  <si>
    <t>Jaime Cambero Ian Carlo</t>
  </si>
  <si>
    <t>Jimenez Moreno Fátima Johana Yazmin</t>
  </si>
  <si>
    <t>Lúa Alexander Yelena Itzayana</t>
  </si>
  <si>
    <t>Martínez Rodríguez Dayana</t>
  </si>
  <si>
    <t>Mendoza Gaspar Julian</t>
  </si>
  <si>
    <t>Paramo Castro Mateo</t>
  </si>
  <si>
    <t>Ponce Ramirez Alexandra Dannaé</t>
  </si>
  <si>
    <t>Solares Moreno Ximena Anahi</t>
  </si>
  <si>
    <t>Solorzano Alvarado Santiago Gabriel</t>
  </si>
  <si>
    <t>Soto Ayala Christian Gabriel</t>
  </si>
  <si>
    <t>Soto Lobo Andrea</t>
  </si>
  <si>
    <t>Vera Gomez Santiago Karim</t>
  </si>
  <si>
    <t>TOTAL</t>
  </si>
  <si>
    <t>Tarea</t>
  </si>
  <si>
    <t>Grupo indígena/ Tribú urbana</t>
  </si>
  <si>
    <t xml:space="preserve">Imagen desastre natural </t>
  </si>
  <si>
    <t xml:space="preserve">¿Que harías sino contaras con tecnología? </t>
  </si>
  <si>
    <t>¿Qué entiendes por región biocultural?</t>
  </si>
  <si>
    <t>Descripción de su entorno geográfico</t>
  </si>
  <si>
    <t>Diferencia entre terremoto y maremoto</t>
  </si>
  <si>
    <t xml:space="preserve">Dibujar señaleticas de precaución </t>
  </si>
  <si>
    <t xml:space="preserve">Traer plumones y otrops materiales </t>
  </si>
  <si>
    <t xml:space="preserve">Cuadro comparativo entre  plano y mapa </t>
  </si>
  <si>
    <t xml:space="preserve">Relieve. Lugar al que pertenece y composición geográfica. </t>
  </si>
  <si>
    <t>Principales fuentes de agua de México, lagos y Ríos.</t>
  </si>
  <si>
    <t>Proceso de nixtamalización .</t>
  </si>
  <si>
    <t xml:space="preserve">Elaboración de anuncio publicitario pág. 21 </t>
  </si>
  <si>
    <t xml:space="preserve">Temario. </t>
  </si>
  <si>
    <t>BARBOSA LEON DAMIAN ALEJANDRO</t>
  </si>
  <si>
    <t>BARRAGAN CANELA LEONELA NICOLE</t>
  </si>
  <si>
    <t>BARRERA ORTEGA XIMENA PAOLA</t>
  </si>
  <si>
    <t>BERNAL SERRANO JESSICA LILIANA</t>
  </si>
  <si>
    <t>CASTILLO LOPEZ CARLOS GAEL</t>
  </si>
  <si>
    <t>CÁRDENAS CALÁ ANTONELLA</t>
  </si>
  <si>
    <t>CRUZ GAMA MATEO EMILIANO</t>
  </si>
  <si>
    <t>CUEVA RANGEL OSWALDO ELEAZAR</t>
  </si>
  <si>
    <t>DÁVALOS SÁNCHEZ FRANCISCO TADEO</t>
  </si>
  <si>
    <t>DÍAZ ELIZALDE SOFÍA</t>
  </si>
  <si>
    <t>ESPINOZA GONZALEZ LEONARDO DANIEL</t>
  </si>
  <si>
    <t>FUENTES FERNANDEZ MAXIMO DARIO</t>
  </si>
  <si>
    <t>GONZALEZ PARRA AMANDA RHOMINA</t>
  </si>
  <si>
    <t>GONZALEZ SOTO ADIEL EMILIANO</t>
  </si>
  <si>
    <t>GONZÁLEZ DE LA CERDA ISAÍAS DANIEL</t>
  </si>
  <si>
    <t>HERNÁNDEZ FÉLIX NEIZAN JESÚS</t>
  </si>
  <si>
    <t>HERNÁNDEZ LÓPEZ SANTIAGO MATÍAS</t>
  </si>
  <si>
    <t>IRINEO NAVARRO SOFIA ESMERALDA</t>
  </si>
  <si>
    <t>IVAÑEZ DURAN TADEO SALVADOR</t>
  </si>
  <si>
    <t>JAIME CAMBERO IAN CARLO</t>
  </si>
  <si>
    <t>JIMENEZ MORENO FÁTIMA JOHANA YAZMIN</t>
  </si>
  <si>
    <t>LÚA ALEXANDER YELENA ITZAYANA</t>
  </si>
  <si>
    <t>MARTÍNEZ RODRÍGUEZ DAYANA</t>
  </si>
  <si>
    <t>MENDOZA GASPAR JULIAN</t>
  </si>
  <si>
    <t>PARAMO CASTRO MATEO</t>
  </si>
  <si>
    <t>PONCE RAMIREZ ALEXANDRA DANNAÉ</t>
  </si>
  <si>
    <t>SOLARES MORENO XIMENA ANAHI</t>
  </si>
  <si>
    <t>SOLORZANO ALVARADO SANTIAGO GABRIEL</t>
  </si>
  <si>
    <t>SOTO AYALA CHRISTIAN GABRIEL</t>
  </si>
  <si>
    <t>SOTO LOBO ANDREA</t>
  </si>
  <si>
    <t>VERA GOMEZ SANTIAGO KARIM</t>
  </si>
  <si>
    <t>Almanza Rocha Valeria Paola</t>
  </si>
  <si>
    <t>Camejo de la Torre Josue</t>
  </si>
  <si>
    <t>Chavez Escobedo Carlo</t>
  </si>
  <si>
    <t>Medina Hernandez Angela Karol</t>
  </si>
  <si>
    <t>Morales Alvarez Julia</t>
  </si>
  <si>
    <t>Rodriguez Robles Mateo</t>
  </si>
  <si>
    <t>Sanchez Pedraza Ian Alexander</t>
  </si>
  <si>
    <t>Serrano Ponce Camila Denisse</t>
  </si>
  <si>
    <t>Torres Avalos Oskar</t>
  </si>
  <si>
    <t>Venegas Delgadillo Jorge Alfonso</t>
  </si>
  <si>
    <t>Zarate Medellin Regina Noemi</t>
  </si>
  <si>
    <t>Geografía I</t>
  </si>
  <si>
    <t>Concepto</t>
  </si>
  <si>
    <t xml:space="preserve">Revisión del Libro P.P. -  Lo que debe </t>
  </si>
  <si>
    <t>Revisión del Cuaderno-Lecciones</t>
  </si>
  <si>
    <t xml:space="preserve">Conducta </t>
  </si>
  <si>
    <t xml:space="preserve">debe 41 Proyecto </t>
  </si>
  <si>
    <t>Lecciones // Tareas</t>
  </si>
  <si>
    <t xml:space="preserve">Debe 55 Proyecto debe 4 </t>
  </si>
  <si>
    <r>
      <rPr>
        <sz val="11"/>
        <color theme="1"/>
        <rFont val="Aptos Narrow"/>
        <charset val="134"/>
        <scheme val="minor"/>
      </rPr>
      <t>92*100/96=</t>
    </r>
    <r>
      <rPr>
        <b/>
        <sz val="11"/>
        <color theme="1"/>
        <rFont val="Aptos Narrow"/>
        <charset val="134"/>
        <scheme val="minor"/>
      </rPr>
      <t xml:space="preserve"> 9.5</t>
    </r>
    <r>
      <rPr>
        <sz val="11"/>
        <color theme="1"/>
        <rFont val="Aptos Narrow"/>
        <charset val="134"/>
        <scheme val="minor"/>
      </rPr>
      <t xml:space="preserve"> Debe 4 Lecciones //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</si>
  <si>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b/>
        <sz val="11"/>
        <color rgb="FFFF0000"/>
        <rFont val="Aptos Narrow"/>
        <charset val="134"/>
        <scheme val="minor"/>
      </rPr>
      <t>30/30</t>
    </r>
    <r>
      <rPr>
        <sz val="11"/>
        <color rgb="FFFF0000"/>
        <rFont val="Aptos Narrow"/>
        <charset val="134"/>
        <scheme val="minor"/>
      </rPr>
      <t xml:space="preserve"> Lecciones </t>
    </r>
    <r>
      <rPr>
        <b/>
        <sz val="11"/>
        <color rgb="FFFF0000"/>
        <rFont val="Aptos Narrow"/>
        <charset val="134"/>
        <scheme val="minor"/>
      </rPr>
      <t xml:space="preserve">=10 </t>
    </r>
    <r>
      <rPr>
        <sz val="11"/>
        <color rgb="FFFF0000"/>
        <rFont val="Aptos Narrow"/>
        <charset val="134"/>
        <scheme val="minor"/>
      </rPr>
      <t xml:space="preserve">// </t>
    </r>
    <r>
      <rPr>
        <b/>
        <sz val="11"/>
        <color rgb="FFFF0000"/>
        <rFont val="Aptos Narrow"/>
        <charset val="134"/>
        <scheme val="minor"/>
      </rPr>
      <t>14/14</t>
    </r>
    <r>
      <rPr>
        <sz val="11"/>
        <color rgb="FFFF0000"/>
        <rFont val="Aptos Narrow"/>
        <charset val="134"/>
        <scheme val="minor"/>
      </rPr>
      <t xml:space="preserve"> Tareas </t>
    </r>
    <r>
      <rPr>
        <b/>
        <sz val="11"/>
        <color rgb="FFFF0000"/>
        <rFont val="Aptos Narrow"/>
        <charset val="134"/>
        <scheme val="minor"/>
      </rPr>
      <t xml:space="preserve">=10 </t>
    </r>
  </si>
  <si>
    <r>
      <rPr>
        <sz val="11"/>
        <color theme="1"/>
        <rFont val="Aptos Narrow"/>
        <charset val="134"/>
        <scheme val="minor"/>
      </rPr>
      <t xml:space="preserve">68 * 100 / 96 = </t>
    </r>
    <r>
      <rPr>
        <b/>
        <sz val="11"/>
        <color theme="1"/>
        <rFont val="Aptos Narrow"/>
        <charset val="134"/>
        <scheme val="minor"/>
      </rPr>
      <t>7.0</t>
    </r>
    <r>
      <rPr>
        <sz val="11"/>
        <color theme="1"/>
        <rFont val="Aptos Narrow"/>
        <charset val="134"/>
        <scheme val="minor"/>
      </rPr>
      <t xml:space="preserve"> Debe 28 Lecciones // Proyecto </t>
    </r>
    <r>
      <rPr>
        <b/>
        <sz val="11"/>
        <color theme="1"/>
        <rFont val="Aptos Narrow"/>
        <charset val="134"/>
        <scheme val="minor"/>
      </rPr>
      <t xml:space="preserve">10 </t>
    </r>
  </si>
  <si>
    <r>
      <rPr>
        <b/>
        <sz val="11"/>
        <color rgb="FFFF0000"/>
        <rFont val="Aptos Narrow"/>
        <charset val="134"/>
        <scheme val="minor"/>
      </rPr>
      <t>10/30</t>
    </r>
    <r>
      <rPr>
        <sz val="11"/>
        <color rgb="FFFF0000"/>
        <rFont val="Aptos Narrow"/>
        <charset val="134"/>
        <scheme val="minor"/>
      </rPr>
      <t xml:space="preserve"> Lecciones </t>
    </r>
    <r>
      <rPr>
        <b/>
        <sz val="11"/>
        <color rgb="FFFF0000"/>
        <rFont val="Aptos Narrow"/>
        <charset val="134"/>
        <scheme val="minor"/>
      </rPr>
      <t>= 3.3</t>
    </r>
    <r>
      <rPr>
        <sz val="11"/>
        <color rgb="FFFF0000"/>
        <rFont val="Aptos Narrow"/>
        <charset val="134"/>
        <scheme val="minor"/>
      </rPr>
      <t xml:space="preserve">  // </t>
    </r>
    <r>
      <rPr>
        <b/>
        <sz val="11"/>
        <color rgb="FFFF0000"/>
        <rFont val="Aptos Narrow"/>
        <charset val="134"/>
        <scheme val="minor"/>
      </rPr>
      <t>2/14</t>
    </r>
    <r>
      <rPr>
        <sz val="11"/>
        <color rgb="FFFF0000"/>
        <rFont val="Aptos Narrow"/>
        <charset val="134"/>
        <scheme val="minor"/>
      </rPr>
      <t xml:space="preserve"> Tareas </t>
    </r>
    <r>
      <rPr>
        <b/>
        <sz val="11"/>
        <color rgb="FFFF0000"/>
        <rFont val="Aptos Narrow"/>
        <charset val="134"/>
        <scheme val="minor"/>
      </rPr>
      <t xml:space="preserve">= 1.4 </t>
    </r>
  </si>
  <si>
    <r>
      <rPr>
        <sz val="11"/>
        <color theme="1"/>
        <rFont val="Aptos Narrow"/>
        <charset val="134"/>
        <scheme val="minor"/>
      </rPr>
      <t xml:space="preserve">86 *100 / 96 = </t>
    </r>
    <r>
      <rPr>
        <b/>
        <sz val="11"/>
        <color theme="1"/>
        <rFont val="Aptos Narrow"/>
        <charset val="134"/>
        <scheme val="minor"/>
      </rPr>
      <t xml:space="preserve">8.9  </t>
    </r>
    <r>
      <rPr>
        <sz val="11"/>
        <color theme="1"/>
        <rFont val="Aptos Narrow"/>
        <charset val="134"/>
        <scheme val="minor"/>
      </rPr>
      <t>Debe 10 Lecciones</t>
    </r>
    <r>
      <rPr>
        <b/>
        <sz val="11"/>
        <color theme="1"/>
        <rFont val="Aptos Narrow"/>
        <charset val="134"/>
        <scheme val="minor"/>
      </rPr>
      <t xml:space="preserve"> </t>
    </r>
    <r>
      <rPr>
        <sz val="11"/>
        <color theme="1"/>
        <rFont val="Aptos Narrow"/>
        <charset val="134"/>
        <scheme val="minor"/>
      </rPr>
      <t xml:space="preserve">// 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</si>
  <si>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b/>
        <sz val="11"/>
        <color rgb="FFFF0000"/>
        <rFont val="Aptos Narrow"/>
        <charset val="134"/>
        <scheme val="minor"/>
      </rPr>
      <t>17/30</t>
    </r>
    <r>
      <rPr>
        <sz val="11"/>
        <color rgb="FFFF0000"/>
        <rFont val="Aptos Narrow"/>
        <charset val="134"/>
        <scheme val="minor"/>
      </rPr>
      <t xml:space="preserve"> Lecciones</t>
    </r>
    <r>
      <rPr>
        <b/>
        <sz val="11"/>
        <color rgb="FFFF0000"/>
        <rFont val="Aptos Narrow"/>
        <charset val="134"/>
        <scheme val="minor"/>
      </rPr>
      <t xml:space="preserve"> = 5.6 </t>
    </r>
    <r>
      <rPr>
        <sz val="11"/>
        <color rgb="FFFF0000"/>
        <rFont val="Aptos Narrow"/>
        <charset val="134"/>
        <scheme val="minor"/>
      </rPr>
      <t xml:space="preserve">// </t>
    </r>
    <r>
      <rPr>
        <b/>
        <sz val="11"/>
        <color rgb="FFFF0000"/>
        <rFont val="Aptos Narrow"/>
        <charset val="134"/>
        <scheme val="minor"/>
      </rPr>
      <t xml:space="preserve">9/14 </t>
    </r>
    <r>
      <rPr>
        <sz val="11"/>
        <color rgb="FFFF0000"/>
        <rFont val="Aptos Narrow"/>
        <charset val="134"/>
        <scheme val="minor"/>
      </rPr>
      <t>Tareas</t>
    </r>
    <r>
      <rPr>
        <b/>
        <sz val="11"/>
        <color rgb="FFFF0000"/>
        <rFont val="Aptos Narrow"/>
        <charset val="134"/>
        <scheme val="minor"/>
      </rPr>
      <t xml:space="preserve">= 6.4 </t>
    </r>
  </si>
  <si>
    <r>
      <rPr>
        <sz val="11"/>
        <color theme="1"/>
        <rFont val="Aptos Narrow"/>
        <charset val="134"/>
        <scheme val="minor"/>
      </rPr>
      <t xml:space="preserve">93*100/96= </t>
    </r>
    <r>
      <rPr>
        <b/>
        <sz val="11"/>
        <color theme="1"/>
        <rFont val="Aptos Narrow"/>
        <charset val="134"/>
        <scheme val="minor"/>
      </rPr>
      <t xml:space="preserve">9.6 </t>
    </r>
    <r>
      <rPr>
        <sz val="11"/>
        <color theme="1"/>
        <rFont val="Aptos Narrow"/>
        <charset val="134"/>
        <scheme val="minor"/>
      </rPr>
      <t>Debe 3 Lecciones // Proyecto 10</t>
    </r>
  </si>
  <si>
    <r>
      <rPr>
        <b/>
        <sz val="11"/>
        <color rgb="FFFF0000"/>
        <rFont val="Aptos Narrow"/>
        <charset val="134"/>
        <scheme val="minor"/>
      </rPr>
      <t>29/30</t>
    </r>
    <r>
      <rPr>
        <sz val="11"/>
        <color rgb="FFFF0000"/>
        <rFont val="Aptos Narrow"/>
        <charset val="134"/>
        <scheme val="minor"/>
      </rPr>
      <t xml:space="preserve"> Lecciones </t>
    </r>
    <r>
      <rPr>
        <b/>
        <sz val="11"/>
        <color rgb="FFFF0000"/>
        <rFont val="Aptos Narrow"/>
        <charset val="134"/>
        <scheme val="minor"/>
      </rPr>
      <t>=9.6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 xml:space="preserve">14/14 </t>
    </r>
    <r>
      <rPr>
        <sz val="11"/>
        <color rgb="FFFF0000"/>
        <rFont val="Aptos Narrow"/>
        <charset val="134"/>
        <scheme val="minor"/>
      </rPr>
      <t>Tareas</t>
    </r>
    <r>
      <rPr>
        <b/>
        <sz val="11"/>
        <color rgb="FFFF0000"/>
        <rFont val="Aptos Narrow"/>
        <charset val="134"/>
        <scheme val="minor"/>
      </rPr>
      <t xml:space="preserve"> = 10 </t>
    </r>
  </si>
  <si>
    <r>
      <rPr>
        <sz val="11"/>
        <color theme="1"/>
        <rFont val="Aptos Narrow"/>
        <charset val="134"/>
        <scheme val="minor"/>
      </rPr>
      <t xml:space="preserve">89 *100 / 96 = </t>
    </r>
    <r>
      <rPr>
        <b/>
        <sz val="11"/>
        <color theme="1"/>
        <rFont val="Aptos Narrow"/>
        <charset val="134"/>
        <scheme val="minor"/>
      </rPr>
      <t xml:space="preserve">9.2 </t>
    </r>
    <r>
      <rPr>
        <sz val="11"/>
        <color theme="1"/>
        <rFont val="Aptos Narrow"/>
        <charset val="134"/>
        <scheme val="minor"/>
      </rPr>
      <t xml:space="preserve"> Debe 7 Lecciones //  Proyecto </t>
    </r>
    <r>
      <rPr>
        <b/>
        <sz val="11"/>
        <color theme="1"/>
        <rFont val="Aptos Narrow"/>
        <charset val="134"/>
        <scheme val="minor"/>
      </rPr>
      <t>9</t>
    </r>
  </si>
  <si>
    <r>
      <rPr>
        <b/>
        <sz val="11"/>
        <color rgb="FFFF0000"/>
        <rFont val="Aptos Narrow"/>
        <charset val="134"/>
        <scheme val="minor"/>
      </rPr>
      <t>23/30</t>
    </r>
    <r>
      <rPr>
        <sz val="11"/>
        <color rgb="FFFF0000"/>
        <rFont val="Aptos Narrow"/>
        <charset val="134"/>
        <scheme val="minor"/>
      </rPr>
      <t xml:space="preserve"> Lecciones =</t>
    </r>
    <r>
      <rPr>
        <b/>
        <sz val="11"/>
        <color rgb="FFFF0000"/>
        <rFont val="Aptos Narrow"/>
        <charset val="134"/>
        <scheme val="minor"/>
      </rPr>
      <t xml:space="preserve">7.6 </t>
    </r>
    <r>
      <rPr>
        <sz val="11"/>
        <color rgb="FFFF0000"/>
        <rFont val="Aptos Narrow"/>
        <charset val="134"/>
        <scheme val="minor"/>
      </rPr>
      <t xml:space="preserve">// </t>
    </r>
    <r>
      <rPr>
        <b/>
        <sz val="11"/>
        <color rgb="FFFF0000"/>
        <rFont val="Aptos Narrow"/>
        <charset val="134"/>
        <scheme val="minor"/>
      </rPr>
      <t xml:space="preserve">2/14 </t>
    </r>
    <r>
      <rPr>
        <sz val="11"/>
        <color rgb="FFFF0000"/>
        <rFont val="Aptos Narrow"/>
        <charset val="134"/>
        <scheme val="minor"/>
      </rPr>
      <t xml:space="preserve">Tareas </t>
    </r>
    <r>
      <rPr>
        <b/>
        <sz val="11"/>
        <color rgb="FFFF0000"/>
        <rFont val="Aptos Narrow"/>
        <charset val="134"/>
        <scheme val="minor"/>
      </rPr>
      <t>= 1.4</t>
    </r>
  </si>
  <si>
    <r>
      <rPr>
        <sz val="11"/>
        <color theme="1"/>
        <rFont val="Aptos Narrow"/>
        <charset val="134"/>
        <scheme val="minor"/>
      </rPr>
      <t xml:space="preserve">38 *100 / 96 = </t>
    </r>
    <r>
      <rPr>
        <b/>
        <sz val="11"/>
        <color theme="1"/>
        <rFont val="Aptos Narrow"/>
        <charset val="134"/>
        <scheme val="minor"/>
      </rPr>
      <t>3.9</t>
    </r>
    <r>
      <rPr>
        <sz val="11"/>
        <color theme="1"/>
        <rFont val="Aptos Narrow"/>
        <charset val="134"/>
        <scheme val="minor"/>
      </rPr>
      <t xml:space="preserve">  Debe 58 Lecciones // </t>
    </r>
    <r>
      <rPr>
        <sz val="11"/>
        <color rgb="FFFF0000"/>
        <rFont val="Aptos Narrow"/>
        <charset val="134"/>
        <scheme val="minor"/>
      </rPr>
      <t>Proyecto 0</t>
    </r>
  </si>
  <si>
    <r>
      <rPr>
        <sz val="11"/>
        <color theme="1"/>
        <rFont val="Aptos Narrow"/>
        <charset val="134"/>
        <scheme val="minor"/>
      </rPr>
      <t xml:space="preserve">75*100/96 = </t>
    </r>
    <r>
      <rPr>
        <b/>
        <sz val="11"/>
        <color theme="1"/>
        <rFont val="Aptos Narrow"/>
        <charset val="134"/>
        <scheme val="minor"/>
      </rPr>
      <t xml:space="preserve">7.8 </t>
    </r>
    <r>
      <rPr>
        <sz val="11"/>
        <color theme="1"/>
        <rFont val="Aptos Narrow"/>
        <charset val="134"/>
        <scheme val="minor"/>
      </rPr>
      <t xml:space="preserve"> Debe 21 Lecciones //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</si>
  <si>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b/>
        <sz val="11"/>
        <color rgb="FFFF0000"/>
        <rFont val="Aptos Narrow"/>
        <charset val="134"/>
        <scheme val="minor"/>
      </rPr>
      <t>27/30</t>
    </r>
    <r>
      <rPr>
        <sz val="11"/>
        <color rgb="FFFF0000"/>
        <rFont val="Aptos Narrow"/>
        <charset val="134"/>
        <scheme val="minor"/>
      </rPr>
      <t xml:space="preserve"> Lecciones =</t>
    </r>
    <r>
      <rPr>
        <b/>
        <sz val="11"/>
        <color rgb="FFFF0000"/>
        <rFont val="Aptos Narrow"/>
        <charset val="134"/>
        <scheme val="minor"/>
      </rPr>
      <t xml:space="preserve"> 9.0 </t>
    </r>
    <r>
      <rPr>
        <sz val="11"/>
        <color rgb="FFFF0000"/>
        <rFont val="Aptos Narrow"/>
        <charset val="134"/>
        <scheme val="minor"/>
      </rPr>
      <t xml:space="preserve"> //</t>
    </r>
    <r>
      <rPr>
        <b/>
        <sz val="11"/>
        <color rgb="FFFF0000"/>
        <rFont val="Aptos Narrow"/>
        <charset val="134"/>
        <scheme val="minor"/>
      </rPr>
      <t>14/14</t>
    </r>
    <r>
      <rPr>
        <sz val="11"/>
        <color rgb="FFFF0000"/>
        <rFont val="Aptos Narrow"/>
        <charset val="134"/>
        <scheme val="minor"/>
      </rPr>
      <t xml:space="preserve"> Tareas </t>
    </r>
    <r>
      <rPr>
        <b/>
        <sz val="11"/>
        <color rgb="FFFF0000"/>
        <rFont val="Aptos Narrow"/>
        <charset val="134"/>
        <scheme val="minor"/>
      </rPr>
      <t>=10</t>
    </r>
    <r>
      <rPr>
        <sz val="11"/>
        <color rgb="FFFF0000"/>
        <rFont val="Aptos Narrow"/>
        <charset val="134"/>
        <scheme val="minor"/>
      </rPr>
      <t xml:space="preserve"> </t>
    </r>
  </si>
  <si>
    <t>93*100/96= 9.6 Debe 3 Lecciones // Proyecto 10</t>
  </si>
  <si>
    <t>No entregó libro</t>
  </si>
  <si>
    <r>
      <rPr>
        <sz val="11"/>
        <color theme="1"/>
        <rFont val="Aptos Narrow"/>
        <charset val="134"/>
        <scheme val="minor"/>
      </rPr>
      <t xml:space="preserve">91*100/96= </t>
    </r>
    <r>
      <rPr>
        <b/>
        <sz val="11"/>
        <color theme="1"/>
        <rFont val="Aptos Narrow"/>
        <charset val="134"/>
        <scheme val="minor"/>
      </rPr>
      <t>9.4</t>
    </r>
    <r>
      <rPr>
        <sz val="11"/>
        <color theme="1"/>
        <rFont val="Aptos Narrow"/>
        <charset val="134"/>
        <scheme val="minor"/>
      </rPr>
      <t xml:space="preserve"> Debe 5 Lecciones //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</si>
  <si>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b/>
        <sz val="11"/>
        <color rgb="FFFF0000"/>
        <rFont val="Aptos Narrow"/>
        <charset val="134"/>
        <scheme val="minor"/>
      </rPr>
      <t xml:space="preserve">20/30 </t>
    </r>
    <r>
      <rPr>
        <sz val="11"/>
        <color rgb="FFFF0000"/>
        <rFont val="Aptos Narrow"/>
        <charset val="134"/>
        <scheme val="minor"/>
      </rPr>
      <t xml:space="preserve">Lecciones = </t>
    </r>
    <r>
      <rPr>
        <b/>
        <sz val="11"/>
        <color rgb="FFFF0000"/>
        <rFont val="Aptos Narrow"/>
        <charset val="134"/>
        <scheme val="minor"/>
      </rPr>
      <t>6.6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>14/14</t>
    </r>
    <r>
      <rPr>
        <sz val="11"/>
        <color rgb="FFFF0000"/>
        <rFont val="Aptos Narrow"/>
        <charset val="134"/>
        <scheme val="minor"/>
      </rPr>
      <t xml:space="preserve"> Tareas </t>
    </r>
    <r>
      <rPr>
        <b/>
        <sz val="11"/>
        <color rgb="FFFF0000"/>
        <rFont val="Aptos Narrow"/>
        <charset val="134"/>
        <scheme val="minor"/>
      </rPr>
      <t xml:space="preserve">= 10 </t>
    </r>
  </si>
  <si>
    <t>87*100/96 = 9.0 Debe 9 Lecciones // Proyecto 10</t>
  </si>
  <si>
    <r>
      <rPr>
        <b/>
        <sz val="11"/>
        <color rgb="FFFF0000"/>
        <rFont val="Aptos Narrow"/>
        <charset val="134"/>
        <scheme val="minor"/>
      </rPr>
      <t xml:space="preserve">19/30 </t>
    </r>
    <r>
      <rPr>
        <sz val="11"/>
        <color rgb="FFFF0000"/>
        <rFont val="Aptos Narrow"/>
        <charset val="134"/>
        <scheme val="minor"/>
      </rPr>
      <t xml:space="preserve">Lecciones = </t>
    </r>
    <r>
      <rPr>
        <b/>
        <sz val="11"/>
        <color rgb="FFFF0000"/>
        <rFont val="Aptos Narrow"/>
        <charset val="134"/>
        <scheme val="minor"/>
      </rPr>
      <t xml:space="preserve">6.3 </t>
    </r>
    <r>
      <rPr>
        <sz val="11"/>
        <color rgb="FFFF0000"/>
        <rFont val="Aptos Narrow"/>
        <charset val="134"/>
        <scheme val="minor"/>
      </rPr>
      <t xml:space="preserve">// </t>
    </r>
    <r>
      <rPr>
        <b/>
        <sz val="11"/>
        <color rgb="FFFF0000"/>
        <rFont val="Aptos Narrow"/>
        <charset val="134"/>
        <scheme val="minor"/>
      </rPr>
      <t>14/14</t>
    </r>
    <r>
      <rPr>
        <sz val="11"/>
        <color rgb="FFFF0000"/>
        <rFont val="Aptos Narrow"/>
        <charset val="134"/>
        <scheme val="minor"/>
      </rPr>
      <t xml:space="preserve"> Tareas </t>
    </r>
    <r>
      <rPr>
        <b/>
        <sz val="11"/>
        <color rgb="FFFF0000"/>
        <rFont val="Aptos Narrow"/>
        <charset val="134"/>
        <scheme val="minor"/>
      </rPr>
      <t>=</t>
    </r>
    <r>
      <rPr>
        <sz val="11"/>
        <color rgb="FFFF0000"/>
        <rFont val="Aptos Narrow"/>
        <charset val="134"/>
        <scheme val="minor"/>
      </rPr>
      <t xml:space="preserve"> </t>
    </r>
    <r>
      <rPr>
        <b/>
        <sz val="11"/>
        <color rgb="FFFF0000"/>
        <rFont val="Aptos Narrow"/>
        <charset val="134"/>
        <scheme val="minor"/>
      </rPr>
      <t>10</t>
    </r>
  </si>
  <si>
    <r>
      <rPr>
        <sz val="11"/>
        <color theme="1"/>
        <rFont val="Aptos Narrow"/>
        <charset val="134"/>
        <scheme val="minor"/>
      </rPr>
      <t xml:space="preserve">80*100/96 = </t>
    </r>
    <r>
      <rPr>
        <b/>
        <sz val="11"/>
        <color theme="1"/>
        <rFont val="Aptos Narrow"/>
        <charset val="134"/>
        <scheme val="minor"/>
      </rPr>
      <t>8.3</t>
    </r>
    <r>
      <rPr>
        <sz val="11"/>
        <color theme="1"/>
        <rFont val="Aptos Narrow"/>
        <charset val="134"/>
        <scheme val="minor"/>
      </rPr>
      <t xml:space="preserve">  Debe 16 Lecciones //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</si>
  <si>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sz val="11"/>
        <color rgb="FFFF0000"/>
        <rFont val="Aptos Narrow"/>
        <charset val="134"/>
        <scheme val="minor"/>
      </rPr>
      <t xml:space="preserve">19/30 Lecciones = 6.3 // 14/14 Tareas = </t>
    </r>
    <r>
      <rPr>
        <b/>
        <sz val="11"/>
        <color rgb="FFFF0000"/>
        <rFont val="Aptos Narrow"/>
        <charset val="134"/>
        <scheme val="minor"/>
      </rPr>
      <t xml:space="preserve">10 </t>
    </r>
  </si>
  <si>
    <r>
      <rPr>
        <sz val="11"/>
        <color theme="1"/>
        <rFont val="Aptos Narrow"/>
        <charset val="134"/>
        <scheme val="minor"/>
      </rPr>
      <t xml:space="preserve">70*100/96 = </t>
    </r>
    <r>
      <rPr>
        <b/>
        <sz val="11"/>
        <color theme="1"/>
        <rFont val="Aptos Narrow"/>
        <charset val="134"/>
        <scheme val="minor"/>
      </rPr>
      <t xml:space="preserve">7.2  </t>
    </r>
    <r>
      <rPr>
        <sz val="11"/>
        <color theme="1"/>
        <rFont val="Aptos Narrow"/>
        <charset val="134"/>
        <scheme val="minor"/>
      </rPr>
      <t xml:space="preserve">Debe 20 Lecciones // Proyecto </t>
    </r>
    <r>
      <rPr>
        <b/>
        <sz val="11"/>
        <color theme="1"/>
        <rFont val="Aptos Narrow"/>
        <charset val="134"/>
        <scheme val="minor"/>
      </rPr>
      <t>9</t>
    </r>
  </si>
  <si>
    <r>
      <rPr>
        <sz val="11"/>
        <color theme="1"/>
        <rFont val="Aptos Narrow"/>
        <charset val="134"/>
        <scheme val="minor"/>
      </rPr>
      <t xml:space="preserve">79*100/96 = </t>
    </r>
    <r>
      <rPr>
        <b/>
        <sz val="11"/>
        <color theme="1"/>
        <rFont val="Aptos Narrow"/>
        <charset val="134"/>
        <scheme val="minor"/>
      </rPr>
      <t xml:space="preserve">8.2 </t>
    </r>
    <r>
      <rPr>
        <sz val="11"/>
        <color theme="1"/>
        <rFont val="Aptos Narrow"/>
        <charset val="134"/>
        <scheme val="minor"/>
      </rPr>
      <t xml:space="preserve"> Debe 17 Lecciones // Proyecto </t>
    </r>
    <r>
      <rPr>
        <b/>
        <sz val="11"/>
        <color theme="1"/>
        <rFont val="Aptos Narrow"/>
        <charset val="134"/>
        <scheme val="minor"/>
      </rPr>
      <t>9</t>
    </r>
  </si>
  <si>
    <r>
      <rPr>
        <b/>
        <sz val="11"/>
        <color rgb="FFFF0000"/>
        <rFont val="Aptos Narrow"/>
        <charset val="134"/>
        <scheme val="minor"/>
      </rPr>
      <t>23/30</t>
    </r>
    <r>
      <rPr>
        <sz val="11"/>
        <color rgb="FFFF0000"/>
        <rFont val="Aptos Narrow"/>
        <charset val="134"/>
        <scheme val="minor"/>
      </rPr>
      <t xml:space="preserve"> Lecciones = </t>
    </r>
    <r>
      <rPr>
        <b/>
        <sz val="11"/>
        <color rgb="FFFF0000"/>
        <rFont val="Aptos Narrow"/>
        <charset val="134"/>
        <scheme val="minor"/>
      </rPr>
      <t>7.6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 xml:space="preserve">10/14 </t>
    </r>
    <r>
      <rPr>
        <sz val="11"/>
        <color rgb="FFFF0000"/>
        <rFont val="Aptos Narrow"/>
        <charset val="134"/>
        <scheme val="minor"/>
      </rPr>
      <t>Tareas</t>
    </r>
    <r>
      <rPr>
        <b/>
        <sz val="11"/>
        <color rgb="FFFF0000"/>
        <rFont val="Aptos Narrow"/>
        <charset val="134"/>
        <scheme val="minor"/>
      </rPr>
      <t xml:space="preserve"> = 7.1</t>
    </r>
  </si>
  <si>
    <r>
      <rPr>
        <sz val="11"/>
        <color theme="1"/>
        <rFont val="Aptos Narrow"/>
        <charset val="134"/>
        <scheme val="minor"/>
      </rPr>
      <t xml:space="preserve">88*100/96 = </t>
    </r>
    <r>
      <rPr>
        <b/>
        <sz val="11"/>
        <color theme="1"/>
        <rFont val="Aptos Narrow"/>
        <charset val="134"/>
        <scheme val="minor"/>
      </rPr>
      <t>9.1</t>
    </r>
    <r>
      <rPr>
        <sz val="11"/>
        <color theme="1"/>
        <rFont val="Aptos Narrow"/>
        <charset val="134"/>
        <scheme val="minor"/>
      </rPr>
      <t xml:space="preserve"> Debe 8 Lecciones //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</si>
  <si>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b/>
        <sz val="11"/>
        <color rgb="FFFF0000"/>
        <rFont val="Aptos Narrow"/>
        <charset val="134"/>
        <scheme val="minor"/>
      </rPr>
      <t>24/30</t>
    </r>
    <r>
      <rPr>
        <sz val="11"/>
        <color rgb="FFFF0000"/>
        <rFont val="Aptos Narrow"/>
        <charset val="134"/>
        <scheme val="minor"/>
      </rPr>
      <t xml:space="preserve"> Lecciones</t>
    </r>
    <r>
      <rPr>
        <b/>
        <sz val="11"/>
        <color rgb="FFFF0000"/>
        <rFont val="Aptos Narrow"/>
        <charset val="134"/>
        <scheme val="minor"/>
      </rPr>
      <t>= 8.0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>5/14</t>
    </r>
    <r>
      <rPr>
        <sz val="11"/>
        <color rgb="FFFF0000"/>
        <rFont val="Aptos Narrow"/>
        <charset val="134"/>
        <scheme val="minor"/>
      </rPr>
      <t xml:space="preserve"> Tareas</t>
    </r>
    <r>
      <rPr>
        <b/>
        <sz val="11"/>
        <color rgb="FFFF0000"/>
        <rFont val="Aptos Narrow"/>
        <charset val="134"/>
        <scheme val="minor"/>
      </rPr>
      <t>= 3.5</t>
    </r>
  </si>
  <si>
    <r>
      <rPr>
        <b/>
        <sz val="11"/>
        <color rgb="FFFF0000"/>
        <rFont val="Aptos Narrow"/>
        <charset val="134"/>
        <scheme val="minor"/>
      </rPr>
      <t xml:space="preserve">28/30 </t>
    </r>
    <r>
      <rPr>
        <sz val="11"/>
        <color rgb="FFFF0000"/>
        <rFont val="Aptos Narrow"/>
        <charset val="134"/>
        <scheme val="minor"/>
      </rPr>
      <t xml:space="preserve"> Lecciones </t>
    </r>
    <r>
      <rPr>
        <b/>
        <sz val="11"/>
        <color rgb="FFFF0000"/>
        <rFont val="Aptos Narrow"/>
        <charset val="134"/>
        <scheme val="minor"/>
      </rPr>
      <t xml:space="preserve">= 9.3 </t>
    </r>
    <r>
      <rPr>
        <sz val="11"/>
        <color rgb="FFFF0000"/>
        <rFont val="Aptos Narrow"/>
        <charset val="134"/>
        <scheme val="minor"/>
      </rPr>
      <t>//</t>
    </r>
    <r>
      <rPr>
        <b/>
        <sz val="11"/>
        <color rgb="FFFF0000"/>
        <rFont val="Aptos Narrow"/>
        <charset val="134"/>
        <scheme val="minor"/>
      </rPr>
      <t xml:space="preserve">4/14 </t>
    </r>
    <r>
      <rPr>
        <sz val="11"/>
        <color rgb="FFFF0000"/>
        <rFont val="Aptos Narrow"/>
        <charset val="134"/>
        <scheme val="minor"/>
      </rPr>
      <t>Tareas</t>
    </r>
    <r>
      <rPr>
        <b/>
        <sz val="11"/>
        <color rgb="FFFF0000"/>
        <rFont val="Aptos Narrow"/>
        <charset val="134"/>
        <scheme val="minor"/>
      </rPr>
      <t xml:space="preserve"> = 2.8</t>
    </r>
  </si>
  <si>
    <t>92*100/96= 9.5 Debe 4 Lecciones // Proyecto 10</t>
  </si>
  <si>
    <r>
      <rPr>
        <sz val="11"/>
        <color theme="1"/>
        <rFont val="Aptos Narrow"/>
        <charset val="134"/>
        <scheme val="minor"/>
      </rPr>
      <t xml:space="preserve">72*100/96 = </t>
    </r>
    <r>
      <rPr>
        <b/>
        <sz val="11"/>
        <color theme="1"/>
        <rFont val="Aptos Narrow"/>
        <charset val="134"/>
        <scheme val="minor"/>
      </rPr>
      <t xml:space="preserve">7.5 </t>
    </r>
    <r>
      <rPr>
        <sz val="11"/>
        <color theme="1"/>
        <rFont val="Aptos Narrow"/>
        <charset val="134"/>
        <scheme val="minor"/>
      </rPr>
      <t xml:space="preserve">Debe 24 Lecciones // Proyecto </t>
    </r>
    <r>
      <rPr>
        <b/>
        <sz val="11"/>
        <color theme="1"/>
        <rFont val="Aptos Narrow"/>
        <charset val="134"/>
        <scheme val="minor"/>
      </rPr>
      <t>10</t>
    </r>
    <r>
      <rPr>
        <sz val="11"/>
        <color theme="1"/>
        <rFont val="Aptos Narrow"/>
        <charset val="134"/>
        <scheme val="minor"/>
      </rPr>
      <t xml:space="preserve"> </t>
    </r>
  </si>
  <si>
    <r>
      <rPr>
        <b/>
        <sz val="11"/>
        <color rgb="FFFF0000"/>
        <rFont val="Aptos Narrow"/>
        <charset val="134"/>
        <scheme val="minor"/>
      </rPr>
      <t>19/30</t>
    </r>
    <r>
      <rPr>
        <sz val="11"/>
        <color rgb="FFFF0000"/>
        <rFont val="Aptos Narrow"/>
        <charset val="134"/>
        <scheme val="minor"/>
      </rPr>
      <t xml:space="preserve"> Lecciones </t>
    </r>
    <r>
      <rPr>
        <b/>
        <sz val="11"/>
        <color rgb="FFFF0000"/>
        <rFont val="Aptos Narrow"/>
        <charset val="134"/>
        <scheme val="minor"/>
      </rPr>
      <t>= 6.3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>9/14</t>
    </r>
    <r>
      <rPr>
        <sz val="11"/>
        <color rgb="FFFF0000"/>
        <rFont val="Aptos Narrow"/>
        <charset val="134"/>
        <scheme val="minor"/>
      </rPr>
      <t xml:space="preserve"> Tareas </t>
    </r>
    <r>
      <rPr>
        <b/>
        <sz val="11"/>
        <color rgb="FFFF0000"/>
        <rFont val="Aptos Narrow"/>
        <charset val="134"/>
        <scheme val="minor"/>
      </rPr>
      <t>= 6.4</t>
    </r>
  </si>
  <si>
    <r>
      <rPr>
        <sz val="11"/>
        <color theme="1"/>
        <rFont val="Aptos Narrow"/>
        <charset val="134"/>
        <scheme val="minor"/>
      </rPr>
      <t xml:space="preserve">81*100/96= </t>
    </r>
    <r>
      <rPr>
        <b/>
        <sz val="11"/>
        <color theme="1"/>
        <rFont val="Aptos Narrow"/>
        <charset val="134"/>
        <scheme val="minor"/>
      </rPr>
      <t xml:space="preserve">8.4 </t>
    </r>
    <r>
      <rPr>
        <sz val="11"/>
        <color theme="1"/>
        <rFont val="Aptos Narrow"/>
        <charset val="134"/>
        <scheme val="minor"/>
      </rPr>
      <t xml:space="preserve">Debe 15 Lecciones //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</si>
  <si>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b/>
        <sz val="11"/>
        <color rgb="FFFF0000"/>
        <rFont val="Aptos Narrow"/>
        <charset val="134"/>
        <scheme val="minor"/>
      </rPr>
      <t>24/30</t>
    </r>
    <r>
      <rPr>
        <sz val="11"/>
        <color rgb="FFFF0000"/>
        <rFont val="Aptos Narrow"/>
        <charset val="134"/>
        <scheme val="minor"/>
      </rPr>
      <t xml:space="preserve"> Lecciones </t>
    </r>
    <r>
      <rPr>
        <b/>
        <sz val="11"/>
        <color rgb="FFFF0000"/>
        <rFont val="Aptos Narrow"/>
        <charset val="134"/>
        <scheme val="minor"/>
      </rPr>
      <t>=80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 xml:space="preserve">5/14 </t>
    </r>
    <r>
      <rPr>
        <sz val="11"/>
        <color rgb="FFFF0000"/>
        <rFont val="Aptos Narrow"/>
        <charset val="134"/>
        <scheme val="minor"/>
      </rPr>
      <t>Tareas</t>
    </r>
    <r>
      <rPr>
        <b/>
        <sz val="11"/>
        <color rgb="FFFF0000"/>
        <rFont val="Aptos Narrow"/>
        <charset val="134"/>
        <scheme val="minor"/>
      </rPr>
      <t>=</t>
    </r>
    <r>
      <rPr>
        <sz val="11"/>
        <color rgb="FFFF0000"/>
        <rFont val="Aptos Narrow"/>
        <charset val="134"/>
        <scheme val="minor"/>
      </rPr>
      <t xml:space="preserve"> </t>
    </r>
    <r>
      <rPr>
        <b/>
        <sz val="11"/>
        <color rgb="FFFF0000"/>
        <rFont val="Aptos Narrow"/>
        <charset val="134"/>
        <scheme val="minor"/>
      </rPr>
      <t>3.5</t>
    </r>
  </si>
  <si>
    <r>
      <rPr>
        <sz val="11"/>
        <rFont val="Aptos Narrow"/>
        <charset val="134"/>
        <scheme val="minor"/>
      </rPr>
      <t xml:space="preserve">68 * 100 / 96 = </t>
    </r>
    <r>
      <rPr>
        <b/>
        <sz val="11"/>
        <rFont val="Aptos Narrow"/>
        <charset val="134"/>
        <scheme val="minor"/>
      </rPr>
      <t>7.0</t>
    </r>
    <r>
      <rPr>
        <sz val="11"/>
        <rFont val="Aptos Narrow"/>
        <charset val="134"/>
        <scheme val="minor"/>
      </rPr>
      <t xml:space="preserve"> Debe 28 Lecciones // Proyecto 10 </t>
    </r>
  </si>
  <si>
    <r>
      <rPr>
        <b/>
        <sz val="11"/>
        <color rgb="FFFF0000"/>
        <rFont val="Aptos Narrow"/>
        <charset val="134"/>
        <scheme val="minor"/>
      </rPr>
      <t>19/30</t>
    </r>
    <r>
      <rPr>
        <sz val="11"/>
        <color rgb="FFFF0000"/>
        <rFont val="Aptos Narrow"/>
        <charset val="134"/>
        <scheme val="minor"/>
      </rPr>
      <t xml:space="preserve"> Lecciones= </t>
    </r>
    <r>
      <rPr>
        <b/>
        <sz val="11"/>
        <color rgb="FFFF0000"/>
        <rFont val="Aptos Narrow"/>
        <charset val="134"/>
        <scheme val="minor"/>
      </rPr>
      <t>6.3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 xml:space="preserve">6/14 </t>
    </r>
    <r>
      <rPr>
        <sz val="11"/>
        <color rgb="FFFF0000"/>
        <rFont val="Aptos Narrow"/>
        <charset val="134"/>
        <scheme val="minor"/>
      </rPr>
      <t xml:space="preserve">Tareas </t>
    </r>
    <r>
      <rPr>
        <b/>
        <sz val="11"/>
        <color rgb="FFFF0000"/>
        <rFont val="Aptos Narrow"/>
        <charset val="134"/>
        <scheme val="minor"/>
      </rPr>
      <t>= 4.2</t>
    </r>
  </si>
  <si>
    <r>
      <rPr>
        <sz val="11"/>
        <color theme="1"/>
        <rFont val="Aptos Narrow"/>
        <charset val="134"/>
        <scheme val="minor"/>
      </rPr>
      <t xml:space="preserve">85 * 100 / 96 = </t>
    </r>
    <r>
      <rPr>
        <b/>
        <sz val="11"/>
        <color theme="1"/>
        <rFont val="Aptos Narrow"/>
        <charset val="134"/>
        <scheme val="minor"/>
      </rPr>
      <t>8.8</t>
    </r>
    <r>
      <rPr>
        <sz val="11"/>
        <color theme="1"/>
        <rFont val="Aptos Narrow"/>
        <charset val="134"/>
        <scheme val="minor"/>
      </rPr>
      <t xml:space="preserve"> Debe 11 Lecciones // Proyecto</t>
    </r>
    <r>
      <rPr>
        <b/>
        <sz val="11"/>
        <color theme="1"/>
        <rFont val="Aptos Narrow"/>
        <charset val="134"/>
        <scheme val="minor"/>
      </rPr>
      <t xml:space="preserve"> 10 </t>
    </r>
  </si>
  <si>
    <r>
      <rPr>
        <sz val="11"/>
        <color theme="1"/>
        <rFont val="Aptos Narrow"/>
        <charset val="134"/>
        <scheme val="minor"/>
      </rPr>
      <t xml:space="preserve">44*100/96 = </t>
    </r>
    <r>
      <rPr>
        <b/>
        <sz val="11"/>
        <color theme="1"/>
        <rFont val="Aptos Narrow"/>
        <charset val="134"/>
        <scheme val="minor"/>
      </rPr>
      <t xml:space="preserve">4.5 </t>
    </r>
    <r>
      <rPr>
        <sz val="11"/>
        <color theme="1"/>
        <rFont val="Aptos Narrow"/>
        <charset val="134"/>
        <scheme val="minor"/>
      </rPr>
      <t xml:space="preserve">Debe 52 Lecciones // Proyecto </t>
    </r>
    <r>
      <rPr>
        <b/>
        <sz val="11"/>
        <color theme="1"/>
        <rFont val="Aptos Narrow"/>
        <charset val="134"/>
        <scheme val="minor"/>
      </rPr>
      <t>7</t>
    </r>
  </si>
  <si>
    <r>
      <rPr>
        <sz val="11"/>
        <color rgb="FFFF0000"/>
        <rFont val="Aptos Narrow"/>
        <charset val="134"/>
        <scheme val="minor"/>
      </rPr>
      <t>13//30 Lecciones</t>
    </r>
    <r>
      <rPr>
        <b/>
        <sz val="11"/>
        <color rgb="FFFF0000"/>
        <rFont val="Aptos Narrow"/>
        <charset val="134"/>
        <scheme val="minor"/>
      </rPr>
      <t>=4.3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>2/14</t>
    </r>
    <r>
      <rPr>
        <sz val="11"/>
        <color rgb="FFFF0000"/>
        <rFont val="Aptos Narrow"/>
        <charset val="134"/>
        <scheme val="minor"/>
      </rPr>
      <t xml:space="preserve"> Tareas=</t>
    </r>
    <r>
      <rPr>
        <b/>
        <sz val="11"/>
        <color rgb="FFFF0000"/>
        <rFont val="Aptos Narrow"/>
        <charset val="134"/>
        <scheme val="minor"/>
      </rPr>
      <t>1.4</t>
    </r>
  </si>
  <si>
    <r>
      <rPr>
        <sz val="11"/>
        <color theme="1"/>
        <rFont val="Aptos Narrow"/>
        <charset val="134"/>
        <scheme val="minor"/>
      </rPr>
      <t xml:space="preserve">86 *100 / 96 = </t>
    </r>
    <r>
      <rPr>
        <b/>
        <sz val="11"/>
        <color theme="1"/>
        <rFont val="Aptos Narrow"/>
        <charset val="134"/>
        <scheme val="minor"/>
      </rPr>
      <t>8.9</t>
    </r>
    <r>
      <rPr>
        <sz val="11"/>
        <color theme="1"/>
        <rFont val="Aptos Narrow"/>
        <charset val="134"/>
        <scheme val="minor"/>
      </rPr>
      <t xml:space="preserve">  Debe 10 lecciones //  Proyecto </t>
    </r>
    <r>
      <rPr>
        <b/>
        <sz val="11"/>
        <color theme="1"/>
        <rFont val="Aptos Narrow"/>
        <charset val="134"/>
        <scheme val="minor"/>
      </rPr>
      <t>9</t>
    </r>
  </si>
  <si>
    <r>
      <rPr>
        <sz val="11"/>
        <color rgb="FFFF0000"/>
        <rFont val="Aptos Narrow"/>
        <charset val="134"/>
        <scheme val="minor"/>
      </rPr>
      <t>3</t>
    </r>
    <r>
      <rPr>
        <b/>
        <sz val="11"/>
        <color rgb="FFFF0000"/>
        <rFont val="Aptos Narrow"/>
        <charset val="134"/>
        <scheme val="minor"/>
      </rPr>
      <t>0/30</t>
    </r>
    <r>
      <rPr>
        <sz val="11"/>
        <color rgb="FFFF0000"/>
        <rFont val="Aptos Narrow"/>
        <charset val="134"/>
        <scheme val="minor"/>
      </rPr>
      <t xml:space="preserve"> Lecciones </t>
    </r>
    <r>
      <rPr>
        <b/>
        <sz val="11"/>
        <color rgb="FFFF0000"/>
        <rFont val="Aptos Narrow"/>
        <charset val="134"/>
        <scheme val="minor"/>
      </rPr>
      <t xml:space="preserve">=10 </t>
    </r>
    <r>
      <rPr>
        <sz val="11"/>
        <color rgb="FFFF0000"/>
        <rFont val="Aptos Narrow"/>
        <charset val="134"/>
        <scheme val="minor"/>
      </rPr>
      <t xml:space="preserve"> //</t>
    </r>
    <r>
      <rPr>
        <b/>
        <sz val="11"/>
        <color rgb="FFFF0000"/>
        <rFont val="Aptos Narrow"/>
        <charset val="134"/>
        <scheme val="minor"/>
      </rPr>
      <t xml:space="preserve"> 14/14</t>
    </r>
    <r>
      <rPr>
        <sz val="11"/>
        <color rgb="FFFF0000"/>
        <rFont val="Aptos Narrow"/>
        <charset val="134"/>
        <scheme val="minor"/>
      </rPr>
      <t xml:space="preserve"> Tareas</t>
    </r>
    <r>
      <rPr>
        <b/>
        <sz val="11"/>
        <color rgb="FFFF0000"/>
        <rFont val="Aptos Narrow"/>
        <charset val="134"/>
        <scheme val="minor"/>
      </rPr>
      <t>=10</t>
    </r>
  </si>
  <si>
    <r>
      <rPr>
        <sz val="11"/>
        <color theme="1"/>
        <rFont val="Aptos Narrow"/>
        <charset val="134"/>
        <scheme val="minor"/>
      </rPr>
      <t xml:space="preserve">89 *100 / 96 = </t>
    </r>
    <r>
      <rPr>
        <b/>
        <sz val="11"/>
        <color theme="1"/>
        <rFont val="Aptos Narrow"/>
        <charset val="134"/>
        <scheme val="minor"/>
      </rPr>
      <t xml:space="preserve">9.2 </t>
    </r>
    <r>
      <rPr>
        <sz val="11"/>
        <color theme="1"/>
        <rFont val="Aptos Narrow"/>
        <charset val="134"/>
        <scheme val="minor"/>
      </rPr>
      <t xml:space="preserve"> Debe 7 Lecciones //  Proyecto</t>
    </r>
    <r>
      <rPr>
        <b/>
        <sz val="11"/>
        <color theme="1"/>
        <rFont val="Aptos Narrow"/>
        <charset val="134"/>
        <scheme val="minor"/>
      </rPr>
      <t xml:space="preserve"> 9</t>
    </r>
  </si>
  <si>
    <r>
      <rPr>
        <sz val="11"/>
        <color theme="1"/>
        <rFont val="Aptos Narrow"/>
        <charset val="134"/>
        <scheme val="minor"/>
      </rPr>
      <t xml:space="preserve">93*100/96= </t>
    </r>
    <r>
      <rPr>
        <b/>
        <sz val="11"/>
        <color theme="1"/>
        <rFont val="Aptos Narrow"/>
        <charset val="134"/>
        <scheme val="minor"/>
      </rPr>
      <t>9.6</t>
    </r>
    <r>
      <rPr>
        <sz val="11"/>
        <color theme="1"/>
        <rFont val="Aptos Narrow"/>
        <charset val="134"/>
        <scheme val="minor"/>
      </rPr>
      <t xml:space="preserve"> Debe 3 Lecciones // Proyecto </t>
    </r>
    <r>
      <rPr>
        <b/>
        <sz val="11"/>
        <color theme="1"/>
        <rFont val="Aptos Narrow"/>
        <charset val="134"/>
        <scheme val="minor"/>
      </rPr>
      <t>10</t>
    </r>
  </si>
  <si>
    <t xml:space="preserve">No tiene libro </t>
  </si>
  <si>
    <r>
      <rPr>
        <b/>
        <sz val="11"/>
        <color rgb="FFFF0000"/>
        <rFont val="Aptos Narrow"/>
        <charset val="134"/>
        <scheme val="minor"/>
      </rPr>
      <t xml:space="preserve">7/30 </t>
    </r>
    <r>
      <rPr>
        <sz val="11"/>
        <color rgb="FFFF0000"/>
        <rFont val="Aptos Narrow"/>
        <charset val="134"/>
        <scheme val="minor"/>
      </rPr>
      <t>Lecciones</t>
    </r>
    <r>
      <rPr>
        <b/>
        <sz val="11"/>
        <color rgb="FFFF0000"/>
        <rFont val="Aptos Narrow"/>
        <charset val="134"/>
        <scheme val="minor"/>
      </rPr>
      <t xml:space="preserve"> = 2.3</t>
    </r>
    <r>
      <rPr>
        <sz val="11"/>
        <color rgb="FFFF0000"/>
        <rFont val="Aptos Narrow"/>
        <charset val="134"/>
        <scheme val="minor"/>
      </rPr>
      <t xml:space="preserve">  // </t>
    </r>
    <r>
      <rPr>
        <b/>
        <sz val="11"/>
        <color rgb="FFFF0000"/>
        <rFont val="Aptos Narrow"/>
        <charset val="134"/>
        <scheme val="minor"/>
      </rPr>
      <t>5/14</t>
    </r>
    <r>
      <rPr>
        <sz val="11"/>
        <color rgb="FFFF0000"/>
        <rFont val="Aptos Narrow"/>
        <charset val="134"/>
        <scheme val="minor"/>
      </rPr>
      <t>Tareas=</t>
    </r>
    <r>
      <rPr>
        <b/>
        <sz val="11"/>
        <color rgb="FFFF0000"/>
        <rFont val="Aptos Narrow"/>
        <charset val="134"/>
        <scheme val="minor"/>
      </rPr>
      <t xml:space="preserve">3.5 </t>
    </r>
  </si>
  <si>
    <r>
      <rPr>
        <sz val="11"/>
        <color theme="1"/>
        <rFont val="Aptos Narrow"/>
        <charset val="134"/>
        <scheme val="minor"/>
      </rPr>
      <t xml:space="preserve">92*100/96= </t>
    </r>
    <r>
      <rPr>
        <b/>
        <sz val="11"/>
        <color theme="1"/>
        <rFont val="Aptos Narrow"/>
        <charset val="134"/>
        <scheme val="minor"/>
      </rPr>
      <t xml:space="preserve">9.5 </t>
    </r>
    <r>
      <rPr>
        <sz val="11"/>
        <color theme="1"/>
        <rFont val="Aptos Narrow"/>
        <charset val="134"/>
        <scheme val="minor"/>
      </rPr>
      <t xml:space="preserve">Debe 4 Lecciones // Proyecto </t>
    </r>
    <r>
      <rPr>
        <b/>
        <sz val="11"/>
        <color theme="1"/>
        <rFont val="Aptos Narrow"/>
        <charset val="134"/>
        <scheme val="minor"/>
      </rPr>
      <t>10</t>
    </r>
  </si>
  <si>
    <r>
      <rPr>
        <b/>
        <sz val="11"/>
        <color rgb="FFFF0000"/>
        <rFont val="Aptos Narrow"/>
        <charset val="134"/>
        <scheme val="minor"/>
      </rPr>
      <t>24/30</t>
    </r>
    <r>
      <rPr>
        <sz val="11"/>
        <color rgb="FFFF0000"/>
        <rFont val="Aptos Narrow"/>
        <charset val="134"/>
        <scheme val="minor"/>
      </rPr>
      <t xml:space="preserve"> Lecciones =</t>
    </r>
    <r>
      <rPr>
        <b/>
        <sz val="11"/>
        <color rgb="FFFF0000"/>
        <rFont val="Aptos Narrow"/>
        <charset val="134"/>
        <scheme val="minor"/>
      </rPr>
      <t xml:space="preserve"> 8.0</t>
    </r>
    <r>
      <rPr>
        <sz val="11"/>
        <color rgb="FFFF0000"/>
        <rFont val="Aptos Narrow"/>
        <charset val="134"/>
        <scheme val="minor"/>
      </rPr>
      <t xml:space="preserve"> // </t>
    </r>
    <r>
      <rPr>
        <b/>
        <sz val="11"/>
        <color rgb="FFFF0000"/>
        <rFont val="Aptos Narrow"/>
        <charset val="134"/>
        <scheme val="minor"/>
      </rPr>
      <t>14/14</t>
    </r>
    <r>
      <rPr>
        <sz val="11"/>
        <color rgb="FFFF0000"/>
        <rFont val="Aptos Narrow"/>
        <charset val="134"/>
        <scheme val="minor"/>
      </rPr>
      <t xml:space="preserve"> Tareas=</t>
    </r>
    <r>
      <rPr>
        <b/>
        <sz val="11"/>
        <color rgb="FFFF0000"/>
        <rFont val="Aptos Narrow"/>
        <charset val="134"/>
        <scheme val="minor"/>
      </rPr>
      <t xml:space="preserve"> 10</t>
    </r>
  </si>
  <si>
    <r>
      <rPr>
        <b/>
        <sz val="11"/>
        <color theme="1"/>
        <rFont val="Aptos Narrow"/>
        <charset val="134"/>
        <scheme val="minor"/>
      </rPr>
      <t>10</t>
    </r>
    <r>
      <rPr>
        <sz val="11"/>
        <color theme="1"/>
        <rFont val="Aptos Narrow"/>
        <charset val="134"/>
        <scheme val="minor"/>
      </rPr>
      <t xml:space="preserve"> Lecciones completas // Proyecto </t>
    </r>
    <r>
      <rPr>
        <b/>
        <sz val="11"/>
        <color theme="1"/>
        <rFont val="Aptos Narrow"/>
        <charset val="134"/>
        <scheme val="minor"/>
      </rPr>
      <t>9</t>
    </r>
  </si>
  <si>
    <r>
      <rPr>
        <b/>
        <sz val="11"/>
        <color rgb="FFFF0000"/>
        <rFont val="Aptos Narrow"/>
        <charset val="134"/>
        <scheme val="minor"/>
      </rPr>
      <t xml:space="preserve">21/30 </t>
    </r>
    <r>
      <rPr>
        <sz val="11"/>
        <color rgb="FFFF0000"/>
        <rFont val="Aptos Narrow"/>
        <charset val="134"/>
        <scheme val="minor"/>
      </rPr>
      <t>Lecciones =</t>
    </r>
    <r>
      <rPr>
        <b/>
        <sz val="11"/>
        <color rgb="FFFF0000"/>
        <rFont val="Aptos Narrow"/>
        <charset val="134"/>
        <scheme val="minor"/>
      </rPr>
      <t xml:space="preserve">7.0  </t>
    </r>
    <r>
      <rPr>
        <sz val="11"/>
        <color rgb="FFFF0000"/>
        <rFont val="Aptos Narrow"/>
        <charset val="134"/>
        <scheme val="minor"/>
      </rPr>
      <t xml:space="preserve">// </t>
    </r>
    <r>
      <rPr>
        <b/>
        <sz val="11"/>
        <color rgb="FFFF0000"/>
        <rFont val="Aptos Narrow"/>
        <charset val="134"/>
        <scheme val="minor"/>
      </rPr>
      <t>12/14</t>
    </r>
    <r>
      <rPr>
        <sz val="11"/>
        <color rgb="FFFF0000"/>
        <rFont val="Aptos Narrow"/>
        <charset val="134"/>
        <scheme val="minor"/>
      </rPr>
      <t xml:space="preserve"> Tareas </t>
    </r>
    <r>
      <rPr>
        <b/>
        <sz val="11"/>
        <color rgb="FFFF0000"/>
        <rFont val="Aptos Narrow"/>
        <charset val="134"/>
        <scheme val="minor"/>
      </rPr>
      <t>= 8.5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</si>
</sst>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8">
    <font>
      <sz val="11"/>
      <color theme="1"/>
      <name val="Aptos Narrow"/>
      <charset val="134"/>
      <scheme val="minor"/>
    </font>
    <font>
      <b/>
      <sz val="11"/>
      <color indexed="8"/>
      <name val="Aptos Narrow"/>
      <charset val="134"/>
    </font>
    <font>
      <sz val="11"/>
      <color indexed="8"/>
      <name val="Aptos Narrow"/>
      <charset val="134"/>
    </font>
    <font>
      <b/>
      <sz val="11"/>
      <color theme="1"/>
      <name val="Aptos Narrow"/>
      <charset val="134"/>
      <scheme val="minor"/>
    </font>
    <font>
      <b/>
      <sz val="11"/>
      <color rgb="FFFF0000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name val="Aptos Narrow"/>
      <charset val="134"/>
      <scheme val="minor"/>
    </font>
    <font>
      <sz val="10.5"/>
      <color rgb="FF333333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name val="Aptos Narrow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83CCEB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17" fillId="15" borderId="10" applyNumberFormat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19" fillId="1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1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horizontal="center"/>
    </xf>
    <xf numFmtId="0" fontId="2" fillId="3" borderId="4" xfId="0" applyNumberFormat="1" applyFont="1" applyFill="1" applyBorder="1" applyAlignment="1" applyProtection="1"/>
    <xf numFmtId="0" fontId="1" fillId="3" borderId="4" xfId="0" applyNumberFormat="1" applyFont="1" applyFill="1" applyBorder="1" applyAlignment="1" applyProtection="1"/>
    <xf numFmtId="0" fontId="1" fillId="3" borderId="5" xfId="0" applyNumberFormat="1" applyFont="1" applyFill="1" applyBorder="1" applyAlignment="1" applyProtection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/>
    <xf numFmtId="0" fontId="0" fillId="0" borderId="4" xfId="0" applyFont="1" applyFill="1" applyBorder="1" applyAlignment="1"/>
    <xf numFmtId="0" fontId="3" fillId="0" borderId="0" xfId="0" applyFont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4" borderId="4" xfId="0" applyFont="1" applyFill="1" applyBorder="1" applyAlignment="1"/>
    <xf numFmtId="0" fontId="4" fillId="4" borderId="4" xfId="0" applyFont="1" applyFill="1" applyBorder="1" applyAlignment="1">
      <alignment horizontal="left"/>
    </xf>
    <xf numFmtId="0" fontId="5" fillId="4" borderId="4" xfId="0" applyFont="1" applyFill="1" applyBorder="1" applyAlignment="1"/>
    <xf numFmtId="0" fontId="4" fillId="0" borderId="4" xfId="0" applyFont="1" applyFill="1" applyBorder="1" applyAlignment="1"/>
    <xf numFmtId="0" fontId="5" fillId="0" borderId="4" xfId="0" applyFont="1" applyFill="1" applyBorder="1" applyAlignment="1"/>
    <xf numFmtId="0" fontId="0" fillId="0" borderId="4" xfId="0" applyFont="1" applyFill="1" applyBorder="1" applyAlignment="1">
      <alignment horizontal="left"/>
    </xf>
    <xf numFmtId="0" fontId="5" fillId="5" borderId="4" xfId="0" applyFont="1" applyFill="1" applyBorder="1" applyAlignment="1"/>
    <xf numFmtId="0" fontId="6" fillId="5" borderId="4" xfId="0" applyFont="1" applyFill="1" applyBorder="1" applyAlignment="1"/>
    <xf numFmtId="0" fontId="0" fillId="5" borderId="4" xfId="0" applyFont="1" applyFill="1" applyBorder="1" applyAlignment="1"/>
    <xf numFmtId="0" fontId="0" fillId="6" borderId="4" xfId="0" applyFont="1" applyFill="1" applyBorder="1" applyAlignment="1"/>
    <xf numFmtId="0" fontId="3" fillId="7" borderId="4" xfId="0" applyFont="1" applyFill="1" applyBorder="1" applyAlignment="1">
      <alignment horizontal="center"/>
    </xf>
    <xf numFmtId="0" fontId="0" fillId="8" borderId="4" xfId="0" applyFill="1" applyBorder="1"/>
    <xf numFmtId="0" fontId="3" fillId="8" borderId="4" xfId="0" applyFont="1" applyFill="1" applyBorder="1"/>
    <xf numFmtId="0" fontId="3" fillId="8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178" fontId="0" fillId="0" borderId="4" xfId="0" applyNumberFormat="1" applyBorder="1"/>
    <xf numFmtId="178" fontId="3" fillId="8" borderId="4" xfId="0" applyNumberFormat="1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textRotation="90" wrapText="1"/>
    </xf>
    <xf numFmtId="0" fontId="0" fillId="0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/>
    <xf numFmtId="0" fontId="7" fillId="10" borderId="4" xfId="0" applyFont="1" applyFill="1" applyBorder="1" applyAlignment="1">
      <alignment horizontal="left"/>
    </xf>
    <xf numFmtId="178" fontId="0" fillId="0" borderId="4" xfId="0" applyNumberFormat="1" applyFont="1" applyFill="1" applyBorder="1" applyAlignment="1">
      <alignment horizontal="center" vertical="center"/>
    </xf>
    <xf numFmtId="0" fontId="0" fillId="9" borderId="4" xfId="0" applyFont="1" applyFill="1" applyBorder="1" applyAlignment="1"/>
    <xf numFmtId="178" fontId="3" fillId="9" borderId="4" xfId="0" applyNumberFormat="1" applyFon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178" fontId="0" fillId="0" borderId="4" xfId="0" applyNumberFormat="1" applyBorder="1" applyAlignment="1">
      <alignment horizontal="center"/>
    </xf>
    <xf numFmtId="178" fontId="0" fillId="11" borderId="4" xfId="0" applyNumberForma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178" fontId="3" fillId="12" borderId="4" xfId="0" applyNumberFormat="1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7"/>
  <sheetViews>
    <sheetView topLeftCell="A10" workbookViewId="0">
      <selection activeCell="M36" sqref="M36"/>
    </sheetView>
  </sheetViews>
  <sheetFormatPr defaultColWidth="9" defaultRowHeight="13.8"/>
  <cols>
    <col min="3" max="3" width="12.5666666666667" customWidth="1"/>
    <col min="4" max="4" width="34.8583333333333" customWidth="1"/>
    <col min="5" max="6" width="9.28333333333333" customWidth="1"/>
    <col min="7" max="7" width="17.5666666666667" customWidth="1"/>
    <col min="8" max="8" width="10" customWidth="1"/>
    <col min="9" max="9" width="6.85833333333333" customWidth="1"/>
    <col min="10" max="10" width="14.1416666666667" customWidth="1"/>
    <col min="11" max="11" width="8.56666666666667" customWidth="1"/>
    <col min="12" max="12" width="9.56666666666667" customWidth="1"/>
    <col min="13" max="13" width="29.8583333333333" customWidth="1"/>
  </cols>
  <sheetData>
    <row r="2" spans="2:13">
      <c r="B2" s="22" t="s">
        <v>0</v>
      </c>
      <c r="C2" s="22"/>
      <c r="D2" s="22"/>
      <c r="E2" s="22" t="s">
        <v>1</v>
      </c>
      <c r="F2" s="22"/>
      <c r="G2" s="22"/>
      <c r="H2" s="22"/>
      <c r="I2" s="22"/>
      <c r="J2" s="22"/>
      <c r="K2" s="22"/>
      <c r="L2" s="22"/>
      <c r="M2" s="22"/>
    </row>
    <row r="3" spans="2:13">
      <c r="B3" s="23"/>
      <c r="C3" s="23"/>
      <c r="D3" s="24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8</v>
      </c>
      <c r="K3" s="25" t="s">
        <v>9</v>
      </c>
      <c r="L3" s="25" t="s">
        <v>10</v>
      </c>
      <c r="M3" s="25" t="s">
        <v>11</v>
      </c>
    </row>
    <row r="4" spans="2:13">
      <c r="B4" s="28"/>
      <c r="C4" s="28"/>
      <c r="D4" s="28" t="s">
        <v>12</v>
      </c>
      <c r="E4" s="41">
        <v>0.09</v>
      </c>
      <c r="F4" s="41">
        <v>0.09</v>
      </c>
      <c r="G4" s="41">
        <v>0.25</v>
      </c>
      <c r="H4" s="41">
        <v>0.07</v>
      </c>
      <c r="I4" s="41">
        <v>0.2</v>
      </c>
      <c r="J4" s="41">
        <v>0.2</v>
      </c>
      <c r="K4" s="41">
        <v>0.1</v>
      </c>
      <c r="L4" s="23"/>
      <c r="M4" s="28"/>
    </row>
    <row r="5" spans="2:13">
      <c r="B5" s="26" t="s">
        <v>13</v>
      </c>
      <c r="C5" s="26" t="s">
        <v>14</v>
      </c>
      <c r="D5" s="27" t="s">
        <v>15</v>
      </c>
      <c r="E5" s="28"/>
      <c r="F5" s="28"/>
      <c r="G5" s="28"/>
      <c r="H5" s="28"/>
      <c r="I5" s="28"/>
      <c r="J5" s="28"/>
      <c r="K5" s="28"/>
      <c r="L5" s="23"/>
      <c r="M5" s="28"/>
    </row>
    <row r="6" spans="2:13">
      <c r="B6" s="29">
        <v>1</v>
      </c>
      <c r="C6" s="29">
        <v>1261</v>
      </c>
      <c r="D6" t="s">
        <v>16</v>
      </c>
      <c r="E6" s="42">
        <v>5</v>
      </c>
      <c r="F6" s="42">
        <v>9.3</v>
      </c>
      <c r="G6" s="42">
        <v>0</v>
      </c>
      <c r="H6" s="42">
        <v>6</v>
      </c>
      <c r="I6" s="42">
        <f>'OTRA '!AB5</f>
        <v>0</v>
      </c>
      <c r="J6" s="42">
        <v>0</v>
      </c>
      <c r="K6" s="42">
        <v>0</v>
      </c>
      <c r="L6" s="31">
        <f>E6*0.09+F6*0.09+G8*0.25+H6*0.07+I6*0.2+J6*0.2+K6*0.1</f>
        <v>1.707</v>
      </c>
      <c r="M6" s="28"/>
    </row>
    <row r="7" spans="2:13">
      <c r="B7" s="29">
        <v>2</v>
      </c>
      <c r="C7" s="29">
        <v>1249</v>
      </c>
      <c r="D7" s="28" t="s">
        <v>17</v>
      </c>
      <c r="E7" s="42">
        <v>5</v>
      </c>
      <c r="F7" s="42">
        <v>9.3</v>
      </c>
      <c r="G7" s="42">
        <v>0</v>
      </c>
      <c r="H7" s="42">
        <v>7</v>
      </c>
      <c r="I7" s="42">
        <f>'OTRA '!AB6</f>
        <v>0</v>
      </c>
      <c r="J7" s="42">
        <v>0</v>
      </c>
      <c r="K7" s="42">
        <v>0</v>
      </c>
      <c r="L7" s="31">
        <f t="shared" ref="L7:L15" si="0">E7*0.09+F7*0.09+G7*0.25+H7*0.07+I7*0.2+J7*0.2+K7*0.1</f>
        <v>1.777</v>
      </c>
      <c r="M7" s="28"/>
    </row>
    <row r="8" spans="2:13">
      <c r="B8" s="29">
        <v>3</v>
      </c>
      <c r="C8" s="29">
        <v>1130</v>
      </c>
      <c r="D8" s="28" t="s">
        <v>18</v>
      </c>
      <c r="E8" s="42">
        <v>8</v>
      </c>
      <c r="F8" s="42">
        <v>9.3</v>
      </c>
      <c r="G8" s="42">
        <v>0</v>
      </c>
      <c r="H8" s="42">
        <v>10</v>
      </c>
      <c r="I8" s="42">
        <f>'OTRA '!AB7</f>
        <v>0</v>
      </c>
      <c r="J8" s="42">
        <v>0</v>
      </c>
      <c r="K8" s="42">
        <v>0</v>
      </c>
      <c r="L8" s="31">
        <f t="shared" si="0"/>
        <v>2.257</v>
      </c>
      <c r="M8" s="28"/>
    </row>
    <row r="9" spans="2:13">
      <c r="B9" s="29">
        <v>4</v>
      </c>
      <c r="C9" s="29">
        <v>605</v>
      </c>
      <c r="D9" s="28" t="s">
        <v>19</v>
      </c>
      <c r="E9" s="42">
        <v>6</v>
      </c>
      <c r="F9" s="42">
        <v>10</v>
      </c>
      <c r="G9" s="42">
        <v>0</v>
      </c>
      <c r="H9" s="42">
        <v>9</v>
      </c>
      <c r="I9" s="42">
        <f>'OTRA '!AB8</f>
        <v>0</v>
      </c>
      <c r="J9" s="42">
        <v>0</v>
      </c>
      <c r="K9" s="42">
        <v>0</v>
      </c>
      <c r="L9" s="31">
        <f t="shared" si="0"/>
        <v>2.07</v>
      </c>
      <c r="M9" s="28"/>
    </row>
    <row r="10" spans="2:13">
      <c r="B10" s="29">
        <v>5</v>
      </c>
      <c r="C10" s="29">
        <v>612</v>
      </c>
      <c r="D10" s="28" t="s">
        <v>20</v>
      </c>
      <c r="E10" s="42">
        <v>7</v>
      </c>
      <c r="F10" s="42">
        <v>8.7</v>
      </c>
      <c r="G10" s="42">
        <v>0</v>
      </c>
      <c r="H10" s="42">
        <v>8</v>
      </c>
      <c r="I10" s="42">
        <f>'OTRA '!AB9</f>
        <v>0</v>
      </c>
      <c r="J10" s="42">
        <v>0</v>
      </c>
      <c r="K10" s="42">
        <v>0</v>
      </c>
      <c r="L10" s="31">
        <f t="shared" si="0"/>
        <v>1.973</v>
      </c>
      <c r="M10" s="28"/>
    </row>
    <row r="11" spans="2:13">
      <c r="B11" s="29">
        <v>6</v>
      </c>
      <c r="C11" s="29">
        <v>1159</v>
      </c>
      <c r="D11" s="28" t="s">
        <v>21</v>
      </c>
      <c r="E11" s="42">
        <v>10</v>
      </c>
      <c r="F11" s="42">
        <v>9.3</v>
      </c>
      <c r="G11" s="42">
        <v>0</v>
      </c>
      <c r="H11" s="42">
        <v>10</v>
      </c>
      <c r="I11" s="42">
        <f>'OTRA '!AB10</f>
        <v>0</v>
      </c>
      <c r="J11" s="42">
        <v>0</v>
      </c>
      <c r="K11" s="42">
        <v>0</v>
      </c>
      <c r="L11" s="31">
        <f t="shared" si="0"/>
        <v>2.437</v>
      </c>
      <c r="M11" s="28"/>
    </row>
    <row r="12" spans="2:13">
      <c r="B12" s="29">
        <v>7</v>
      </c>
      <c r="C12" s="29">
        <v>1233</v>
      </c>
      <c r="D12" s="28" t="s">
        <v>22</v>
      </c>
      <c r="E12" s="42">
        <v>8</v>
      </c>
      <c r="F12" s="42">
        <v>8.7</v>
      </c>
      <c r="G12" s="42">
        <v>0</v>
      </c>
      <c r="H12" s="42">
        <v>7</v>
      </c>
      <c r="I12" s="42">
        <f>'OTRA '!AB11</f>
        <v>0</v>
      </c>
      <c r="J12" s="42">
        <v>0</v>
      </c>
      <c r="K12" s="42">
        <v>0</v>
      </c>
      <c r="L12" s="31">
        <f t="shared" si="0"/>
        <v>1.993</v>
      </c>
      <c r="M12" s="28"/>
    </row>
    <row r="13" spans="2:13">
      <c r="B13" s="29">
        <v>8</v>
      </c>
      <c r="C13" s="29">
        <v>1168</v>
      </c>
      <c r="D13" s="28" t="s">
        <v>23</v>
      </c>
      <c r="E13" s="42">
        <v>3</v>
      </c>
      <c r="F13" s="42">
        <v>9.3</v>
      </c>
      <c r="G13" s="42">
        <v>0</v>
      </c>
      <c r="H13" s="42">
        <v>6</v>
      </c>
      <c r="I13" s="42">
        <f>'OTRA '!AB12</f>
        <v>0</v>
      </c>
      <c r="J13" s="42">
        <v>0</v>
      </c>
      <c r="K13" s="42">
        <v>0</v>
      </c>
      <c r="L13" s="31">
        <f t="shared" si="0"/>
        <v>1.527</v>
      </c>
      <c r="M13" s="28"/>
    </row>
    <row r="14" spans="2:13">
      <c r="B14" s="29">
        <v>9</v>
      </c>
      <c r="C14" s="29">
        <v>1150</v>
      </c>
      <c r="D14" s="28" t="s">
        <v>24</v>
      </c>
      <c r="E14" s="42">
        <v>5</v>
      </c>
      <c r="F14" s="42">
        <v>8</v>
      </c>
      <c r="G14" s="42">
        <v>0</v>
      </c>
      <c r="H14" s="42">
        <v>6</v>
      </c>
      <c r="I14" s="42">
        <f>'OTRA '!AB13</f>
        <v>0</v>
      </c>
      <c r="J14" s="42">
        <v>0</v>
      </c>
      <c r="K14" s="42">
        <v>0</v>
      </c>
      <c r="L14" s="31">
        <f t="shared" si="0"/>
        <v>1.59</v>
      </c>
      <c r="M14" s="28"/>
    </row>
    <row r="15" spans="2:13">
      <c r="B15" s="29">
        <v>10</v>
      </c>
      <c r="C15" s="29">
        <v>1184</v>
      </c>
      <c r="D15" s="28" t="s">
        <v>25</v>
      </c>
      <c r="E15" s="42">
        <v>9</v>
      </c>
      <c r="F15" s="42">
        <v>9.3</v>
      </c>
      <c r="G15" s="42">
        <v>0</v>
      </c>
      <c r="H15" s="42">
        <v>8</v>
      </c>
      <c r="I15" s="42">
        <f>'OTRA '!AB14</f>
        <v>0</v>
      </c>
      <c r="J15" s="42">
        <v>0</v>
      </c>
      <c r="K15" s="42">
        <v>0</v>
      </c>
      <c r="L15" s="31">
        <f t="shared" si="0"/>
        <v>2.207</v>
      </c>
      <c r="M15" s="28"/>
    </row>
    <row r="16" spans="2:13">
      <c r="B16" s="29">
        <v>11</v>
      </c>
      <c r="C16" s="29">
        <v>1270</v>
      </c>
      <c r="D16" s="28" t="s">
        <v>26</v>
      </c>
      <c r="E16" s="42">
        <v>5</v>
      </c>
      <c r="F16" s="42">
        <v>8</v>
      </c>
      <c r="G16" s="42">
        <v>0</v>
      </c>
      <c r="H16" s="42">
        <v>6</v>
      </c>
      <c r="I16" s="42">
        <f>'OTRA '!AB15</f>
        <v>0</v>
      </c>
      <c r="J16" s="42">
        <v>0</v>
      </c>
      <c r="K16" s="42">
        <v>0</v>
      </c>
      <c r="L16" s="31">
        <f t="shared" ref="L16" si="1">E16*0.09+F16*0.09+G16*0.25+H16*0.07+I16*0.2+J16*0.2+K16*0.1</f>
        <v>1.59</v>
      </c>
      <c r="M16" s="28"/>
    </row>
    <row r="17" spans="2:13">
      <c r="B17" s="29">
        <v>12</v>
      </c>
      <c r="C17" s="29">
        <v>1199</v>
      </c>
      <c r="D17" s="28" t="s">
        <v>27</v>
      </c>
      <c r="E17" s="42">
        <v>8</v>
      </c>
      <c r="F17" s="42">
        <v>9.3</v>
      </c>
      <c r="G17" s="42">
        <v>0</v>
      </c>
      <c r="H17" s="42">
        <v>8</v>
      </c>
      <c r="I17" s="42">
        <f>'OTRA '!AB16</f>
        <v>0</v>
      </c>
      <c r="J17" s="42">
        <v>0</v>
      </c>
      <c r="K17" s="42">
        <v>0</v>
      </c>
      <c r="L17" s="31">
        <f t="shared" ref="L17:L36" si="2">E17*0.09+F17*0.09+G17*0.25+H17*0.07+I17*0.2+J17*0.2+K17*0.1</f>
        <v>2.117</v>
      </c>
      <c r="M17" s="28"/>
    </row>
    <row r="18" spans="2:13">
      <c r="B18" s="29">
        <v>13</v>
      </c>
      <c r="C18" s="29" t="s">
        <v>28</v>
      </c>
      <c r="D18" s="28" t="s">
        <v>29</v>
      </c>
      <c r="E18" s="42">
        <v>7</v>
      </c>
      <c r="F18" s="42">
        <v>9.3</v>
      </c>
      <c r="G18" s="42">
        <v>0</v>
      </c>
      <c r="H18" s="42">
        <v>6</v>
      </c>
      <c r="I18" s="42">
        <f>'OTRA '!AB17</f>
        <v>0</v>
      </c>
      <c r="J18" s="42">
        <v>0</v>
      </c>
      <c r="K18" s="42">
        <v>0</v>
      </c>
      <c r="L18" s="31">
        <f t="shared" si="2"/>
        <v>1.887</v>
      </c>
      <c r="M18" s="28"/>
    </row>
    <row r="19" spans="2:13">
      <c r="B19" s="29">
        <v>14</v>
      </c>
      <c r="C19" s="29">
        <v>1246</v>
      </c>
      <c r="D19" s="28" t="s">
        <v>30</v>
      </c>
      <c r="E19" s="42">
        <v>6</v>
      </c>
      <c r="F19" s="42">
        <v>8</v>
      </c>
      <c r="G19" s="42">
        <v>0</v>
      </c>
      <c r="H19" s="42">
        <v>6</v>
      </c>
      <c r="I19" s="42">
        <f>'OTRA '!AB18</f>
        <v>0</v>
      </c>
      <c r="J19" s="42">
        <v>0</v>
      </c>
      <c r="K19" s="42">
        <v>0</v>
      </c>
      <c r="L19" s="31">
        <f t="shared" si="2"/>
        <v>1.68</v>
      </c>
      <c r="M19" s="28"/>
    </row>
    <row r="20" spans="2:13">
      <c r="B20" s="29">
        <v>15</v>
      </c>
      <c r="C20" s="29">
        <v>1156</v>
      </c>
      <c r="D20" s="28" t="s">
        <v>31</v>
      </c>
      <c r="E20" s="42">
        <v>6</v>
      </c>
      <c r="F20" s="42">
        <v>6</v>
      </c>
      <c r="G20" s="42">
        <v>0</v>
      </c>
      <c r="H20" s="42">
        <v>6</v>
      </c>
      <c r="I20" s="42">
        <f>'OTRA '!AB19</f>
        <v>0</v>
      </c>
      <c r="J20" s="42">
        <v>0</v>
      </c>
      <c r="K20" s="42">
        <v>0</v>
      </c>
      <c r="L20" s="31">
        <f t="shared" si="2"/>
        <v>1.5</v>
      </c>
      <c r="M20" s="28"/>
    </row>
    <row r="21" spans="2:13">
      <c r="B21" s="29">
        <v>16</v>
      </c>
      <c r="C21" s="29">
        <v>1187</v>
      </c>
      <c r="D21" s="28" t="s">
        <v>32</v>
      </c>
      <c r="E21" s="42">
        <v>8</v>
      </c>
      <c r="F21" s="43">
        <v>0</v>
      </c>
      <c r="G21" s="42">
        <v>0</v>
      </c>
      <c r="H21" s="42">
        <v>7</v>
      </c>
      <c r="I21" s="42">
        <f>'OTRA '!AB20</f>
        <v>0</v>
      </c>
      <c r="J21" s="42">
        <v>0</v>
      </c>
      <c r="K21" s="42">
        <v>0</v>
      </c>
      <c r="L21" s="31">
        <f t="shared" si="2"/>
        <v>1.21</v>
      </c>
      <c r="M21" s="28"/>
    </row>
    <row r="22" spans="2:13">
      <c r="B22" s="29">
        <v>17</v>
      </c>
      <c r="C22" s="29">
        <v>1202</v>
      </c>
      <c r="D22" s="28" t="s">
        <v>33</v>
      </c>
      <c r="E22" s="42">
        <v>9</v>
      </c>
      <c r="F22" s="42">
        <v>9.3</v>
      </c>
      <c r="G22" s="42">
        <v>0</v>
      </c>
      <c r="H22" s="42">
        <v>0</v>
      </c>
      <c r="I22" s="42">
        <f>'OTRA '!AB21</f>
        <v>0</v>
      </c>
      <c r="J22" s="42">
        <v>0</v>
      </c>
      <c r="K22" s="42">
        <v>0</v>
      </c>
      <c r="L22" s="31">
        <f t="shared" si="2"/>
        <v>1.647</v>
      </c>
      <c r="M22" s="28"/>
    </row>
    <row r="23" spans="2:13">
      <c r="B23" s="29">
        <v>18</v>
      </c>
      <c r="C23" s="29">
        <v>1147</v>
      </c>
      <c r="D23" s="28" t="s">
        <v>34</v>
      </c>
      <c r="E23" s="42">
        <v>9</v>
      </c>
      <c r="F23" s="42">
        <v>7.3</v>
      </c>
      <c r="G23" s="42">
        <v>0</v>
      </c>
      <c r="H23" s="42">
        <v>8</v>
      </c>
      <c r="I23" s="42">
        <f>'OTRA '!AB22</f>
        <v>0</v>
      </c>
      <c r="J23" s="42">
        <v>0</v>
      </c>
      <c r="K23" s="42">
        <v>0</v>
      </c>
      <c r="L23" s="31">
        <f t="shared" si="2"/>
        <v>2.027</v>
      </c>
      <c r="M23" s="28"/>
    </row>
    <row r="24" spans="2:13">
      <c r="B24" s="29">
        <v>19</v>
      </c>
      <c r="C24" s="29">
        <v>1193</v>
      </c>
      <c r="D24" s="28" t="s">
        <v>35</v>
      </c>
      <c r="E24" s="42">
        <v>8</v>
      </c>
      <c r="F24" s="42">
        <v>10</v>
      </c>
      <c r="G24" s="42">
        <v>0</v>
      </c>
      <c r="H24" s="42">
        <v>9</v>
      </c>
      <c r="I24" s="42">
        <f>'OTRA '!AB23</f>
        <v>0</v>
      </c>
      <c r="J24" s="42">
        <v>0</v>
      </c>
      <c r="K24" s="42">
        <v>0</v>
      </c>
      <c r="L24" s="31">
        <f t="shared" si="2"/>
        <v>2.25</v>
      </c>
      <c r="M24" s="28"/>
    </row>
    <row r="25" spans="2:13">
      <c r="B25" s="29">
        <v>20</v>
      </c>
      <c r="C25" s="29">
        <v>1209</v>
      </c>
      <c r="D25" s="28" t="s">
        <v>36</v>
      </c>
      <c r="E25" s="42">
        <v>7</v>
      </c>
      <c r="F25" s="42">
        <v>8.7</v>
      </c>
      <c r="G25" s="42">
        <v>0</v>
      </c>
      <c r="H25" s="42">
        <v>7</v>
      </c>
      <c r="I25" s="42">
        <f>'OTRA '!AB24</f>
        <v>0</v>
      </c>
      <c r="J25" s="42">
        <v>0</v>
      </c>
      <c r="K25" s="42">
        <v>0</v>
      </c>
      <c r="L25" s="31">
        <f t="shared" si="2"/>
        <v>1.903</v>
      </c>
      <c r="M25" s="28"/>
    </row>
    <row r="26" spans="2:13">
      <c r="B26" s="29">
        <v>21</v>
      </c>
      <c r="C26" s="29">
        <v>1153</v>
      </c>
      <c r="D26" s="28" t="s">
        <v>37</v>
      </c>
      <c r="E26" s="42">
        <v>10</v>
      </c>
      <c r="F26" s="42">
        <v>9.3</v>
      </c>
      <c r="G26" s="42">
        <v>0</v>
      </c>
      <c r="H26" s="42">
        <v>9</v>
      </c>
      <c r="I26" s="42">
        <f>'OTRA '!AB25</f>
        <v>0</v>
      </c>
      <c r="J26" s="42">
        <v>0</v>
      </c>
      <c r="K26" s="42">
        <v>0</v>
      </c>
      <c r="L26" s="31">
        <f t="shared" si="2"/>
        <v>2.367</v>
      </c>
      <c r="M26" s="28"/>
    </row>
    <row r="27" spans="2:13">
      <c r="B27" s="29">
        <v>22</v>
      </c>
      <c r="C27" s="29">
        <v>1068</v>
      </c>
      <c r="D27" s="28" t="s">
        <v>38</v>
      </c>
      <c r="E27" s="42">
        <v>6</v>
      </c>
      <c r="F27" s="43">
        <v>0</v>
      </c>
      <c r="G27" s="42">
        <v>0</v>
      </c>
      <c r="H27" s="42">
        <v>10</v>
      </c>
      <c r="I27" s="42">
        <f>'OTRA '!AB26</f>
        <v>0</v>
      </c>
      <c r="J27" s="42">
        <v>0</v>
      </c>
      <c r="K27" s="42">
        <v>0</v>
      </c>
      <c r="L27" s="31">
        <f t="shared" si="2"/>
        <v>1.24</v>
      </c>
      <c r="M27" s="28"/>
    </row>
    <row r="28" spans="2:13">
      <c r="B28" s="29">
        <v>23</v>
      </c>
      <c r="C28" s="29">
        <v>1244</v>
      </c>
      <c r="D28" s="28" t="s">
        <v>39</v>
      </c>
      <c r="E28" s="42">
        <v>5</v>
      </c>
      <c r="F28" s="42">
        <v>7.3</v>
      </c>
      <c r="G28" s="42">
        <v>0</v>
      </c>
      <c r="H28" s="42">
        <v>9</v>
      </c>
      <c r="I28" s="42">
        <f>'OTRA '!AB27</f>
        <v>0</v>
      </c>
      <c r="J28" s="42">
        <v>0</v>
      </c>
      <c r="K28" s="42">
        <v>0</v>
      </c>
      <c r="L28" s="31">
        <f t="shared" si="2"/>
        <v>1.737</v>
      </c>
      <c r="M28" s="28"/>
    </row>
    <row r="29" spans="2:13">
      <c r="B29" s="29">
        <v>24</v>
      </c>
      <c r="C29" s="29">
        <v>719</v>
      </c>
      <c r="D29" s="28" t="s">
        <v>40</v>
      </c>
      <c r="E29" s="42">
        <v>3</v>
      </c>
      <c r="F29" s="42">
        <v>6.7</v>
      </c>
      <c r="G29" s="42">
        <v>0</v>
      </c>
      <c r="H29" s="42">
        <v>6</v>
      </c>
      <c r="I29" s="42">
        <f>'OTRA '!AB28</f>
        <v>0</v>
      </c>
      <c r="J29" s="42">
        <v>0</v>
      </c>
      <c r="K29" s="42">
        <v>0</v>
      </c>
      <c r="L29" s="31">
        <f t="shared" si="2"/>
        <v>1.293</v>
      </c>
      <c r="M29" s="28"/>
    </row>
    <row r="30" spans="2:13">
      <c r="B30" s="29">
        <v>25</v>
      </c>
      <c r="C30" s="29">
        <v>1259</v>
      </c>
      <c r="D30" s="28" t="s">
        <v>41</v>
      </c>
      <c r="E30" s="42">
        <v>5</v>
      </c>
      <c r="F30" s="42">
        <v>8</v>
      </c>
      <c r="G30" s="42">
        <v>0</v>
      </c>
      <c r="H30" s="42">
        <v>6</v>
      </c>
      <c r="I30" s="42">
        <f>'OTRA '!AB29</f>
        <v>0</v>
      </c>
      <c r="J30" s="42">
        <v>0</v>
      </c>
      <c r="K30" s="42">
        <v>0</v>
      </c>
      <c r="L30" s="31">
        <f t="shared" si="2"/>
        <v>1.59</v>
      </c>
      <c r="M30" s="28"/>
    </row>
    <row r="31" spans="2:13">
      <c r="B31" s="29">
        <v>26</v>
      </c>
      <c r="C31" s="29">
        <v>1267</v>
      </c>
      <c r="D31" s="28" t="s">
        <v>42</v>
      </c>
      <c r="E31" s="42">
        <v>8</v>
      </c>
      <c r="F31" s="42">
        <v>9.3</v>
      </c>
      <c r="G31" s="42">
        <v>0</v>
      </c>
      <c r="H31" s="42">
        <v>9</v>
      </c>
      <c r="I31" s="42">
        <f>'OTRA '!AB30</f>
        <v>0</v>
      </c>
      <c r="J31" s="42">
        <v>0</v>
      </c>
      <c r="K31" s="42">
        <v>0</v>
      </c>
      <c r="L31" s="31">
        <f t="shared" si="2"/>
        <v>2.187</v>
      </c>
      <c r="M31" s="28"/>
    </row>
    <row r="32" spans="2:13">
      <c r="B32" s="29">
        <v>27</v>
      </c>
      <c r="C32" s="29">
        <v>1206</v>
      </c>
      <c r="D32" s="28" t="s">
        <v>43</v>
      </c>
      <c r="E32" s="42">
        <v>9</v>
      </c>
      <c r="F32" s="42">
        <v>9.3</v>
      </c>
      <c r="G32" s="42">
        <v>0</v>
      </c>
      <c r="H32" s="42">
        <v>10</v>
      </c>
      <c r="I32" s="42">
        <f>'OTRA '!AB31</f>
        <v>0</v>
      </c>
      <c r="J32" s="42">
        <v>0</v>
      </c>
      <c r="K32" s="42">
        <v>0</v>
      </c>
      <c r="L32" s="31">
        <f t="shared" si="2"/>
        <v>2.347</v>
      </c>
      <c r="M32" s="28"/>
    </row>
    <row r="33" spans="2:13">
      <c r="B33" s="29">
        <v>28</v>
      </c>
      <c r="C33" s="29">
        <v>1144</v>
      </c>
      <c r="D33" s="28" t="s">
        <v>44</v>
      </c>
      <c r="E33" s="42">
        <v>5</v>
      </c>
      <c r="F33" s="42">
        <v>8</v>
      </c>
      <c r="G33" s="42">
        <v>0</v>
      </c>
      <c r="H33" s="42">
        <v>8</v>
      </c>
      <c r="I33" s="42">
        <f>'OTRA '!AB32</f>
        <v>0</v>
      </c>
      <c r="J33" s="42">
        <v>0</v>
      </c>
      <c r="K33" s="42">
        <v>0</v>
      </c>
      <c r="L33" s="31">
        <f t="shared" si="2"/>
        <v>1.73</v>
      </c>
      <c r="M33" s="28"/>
    </row>
    <row r="34" spans="2:13">
      <c r="B34" s="29">
        <v>29</v>
      </c>
      <c r="C34" s="29">
        <v>1137</v>
      </c>
      <c r="D34" s="28" t="s">
        <v>45</v>
      </c>
      <c r="E34" s="43">
        <v>0</v>
      </c>
      <c r="F34" s="43">
        <v>0</v>
      </c>
      <c r="G34" s="42">
        <v>0</v>
      </c>
      <c r="H34" s="42">
        <v>10</v>
      </c>
      <c r="I34" s="42">
        <f>'OTRA '!AB33</f>
        <v>0</v>
      </c>
      <c r="J34" s="42">
        <v>0</v>
      </c>
      <c r="K34" s="42">
        <v>0</v>
      </c>
      <c r="L34" s="31">
        <f t="shared" si="2"/>
        <v>0.7</v>
      </c>
      <c r="M34" s="28"/>
    </row>
    <row r="35" spans="2:13">
      <c r="B35" s="29">
        <v>30</v>
      </c>
      <c r="C35" s="29">
        <v>1216</v>
      </c>
      <c r="D35" s="28" t="s">
        <v>46</v>
      </c>
      <c r="E35" s="42">
        <v>10</v>
      </c>
      <c r="F35" s="42">
        <v>10</v>
      </c>
      <c r="G35" s="42">
        <v>0</v>
      </c>
      <c r="H35" s="42">
        <v>10</v>
      </c>
      <c r="I35" s="42">
        <f>'OTRA '!AB34</f>
        <v>0</v>
      </c>
      <c r="J35" s="42">
        <v>0</v>
      </c>
      <c r="K35" s="42">
        <v>0</v>
      </c>
      <c r="L35" s="31">
        <f t="shared" si="2"/>
        <v>2.5</v>
      </c>
      <c r="M35" s="28"/>
    </row>
    <row r="36" spans="2:13">
      <c r="B36" s="29">
        <v>31</v>
      </c>
      <c r="C36" s="29">
        <v>1254</v>
      </c>
      <c r="D36" s="28" t="s">
        <v>47</v>
      </c>
      <c r="E36" s="42">
        <v>6</v>
      </c>
      <c r="F36" s="42">
        <v>8.7</v>
      </c>
      <c r="G36" s="42">
        <v>0</v>
      </c>
      <c r="H36" s="42">
        <v>6</v>
      </c>
      <c r="I36" s="42">
        <f>'OTRA '!AB35</f>
        <v>0</v>
      </c>
      <c r="J36" s="42">
        <v>0</v>
      </c>
      <c r="K36" s="42">
        <v>0</v>
      </c>
      <c r="L36" s="31">
        <f t="shared" si="2"/>
        <v>1.743</v>
      </c>
      <c r="M36" s="28"/>
    </row>
    <row r="37" spans="2:13">
      <c r="B37" s="44" t="s">
        <v>48</v>
      </c>
      <c r="C37" s="45"/>
      <c r="D37" s="46"/>
      <c r="E37" s="47">
        <f>AVERAGE(E6:E36)</f>
        <v>6.64516129032258</v>
      </c>
      <c r="F37" s="47">
        <f>AVERAGE(F6:F36)</f>
        <v>7.86129032258065</v>
      </c>
      <c r="G37" s="47">
        <f t="shared" ref="G37:L37" si="3">AVERAGE(G6:G36)</f>
        <v>0</v>
      </c>
      <c r="H37" s="47">
        <f t="shared" si="3"/>
        <v>7.51612903225806</v>
      </c>
      <c r="I37" s="47">
        <f t="shared" si="3"/>
        <v>0</v>
      </c>
      <c r="J37" s="47">
        <f t="shared" si="3"/>
        <v>0</v>
      </c>
      <c r="K37" s="47">
        <f t="shared" si="3"/>
        <v>0</v>
      </c>
      <c r="L37" s="47">
        <f t="shared" si="3"/>
        <v>1.83170967741935</v>
      </c>
      <c r="M37" s="48"/>
    </row>
  </sheetData>
  <mergeCells count="3">
    <mergeCell ref="B2:D2"/>
    <mergeCell ref="E2:M2"/>
    <mergeCell ref="B37:D3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"/>
  <sheetViews>
    <sheetView topLeftCell="B1" workbookViewId="0">
      <selection activeCell="D6" sqref="D6:E6"/>
    </sheetView>
  </sheetViews>
  <sheetFormatPr defaultColWidth="9" defaultRowHeight="13.8"/>
  <cols>
    <col min="2" max="2" width="14.375" customWidth="1"/>
    <col min="3" max="3" width="37.5" customWidth="1"/>
    <col min="13" max="13" width="10.375" customWidth="1"/>
  </cols>
  <sheetData>
    <row r="1" spans="1:18">
      <c r="A1" s="22" t="s">
        <v>0</v>
      </c>
      <c r="B1" s="22"/>
      <c r="C1" s="22"/>
      <c r="D1" s="22" t="s">
        <v>1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ht="120.05" spans="1:18">
      <c r="A2" s="32"/>
      <c r="B2" s="32"/>
      <c r="C2" s="33" t="s">
        <v>49</v>
      </c>
      <c r="D2" s="34" t="s">
        <v>50</v>
      </c>
      <c r="E2" s="34" t="s">
        <v>51</v>
      </c>
      <c r="F2" s="34" t="s">
        <v>52</v>
      </c>
      <c r="G2" s="34" t="s">
        <v>53</v>
      </c>
      <c r="H2" s="34" t="s">
        <v>54</v>
      </c>
      <c r="I2" s="34" t="s">
        <v>55</v>
      </c>
      <c r="J2" s="34" t="s">
        <v>56</v>
      </c>
      <c r="K2" s="34" t="s">
        <v>57</v>
      </c>
      <c r="L2" s="34" t="s">
        <v>58</v>
      </c>
      <c r="M2" s="34" t="s">
        <v>59</v>
      </c>
      <c r="N2" s="34" t="s">
        <v>60</v>
      </c>
      <c r="O2" s="34" t="s">
        <v>61</v>
      </c>
      <c r="P2" s="34" t="s">
        <v>62</v>
      </c>
      <c r="Q2" s="34" t="s">
        <v>63</v>
      </c>
      <c r="R2" s="39"/>
    </row>
    <row r="3" spans="1:18">
      <c r="A3" s="32"/>
      <c r="B3" s="32"/>
      <c r="C3" s="33"/>
      <c r="D3" s="32">
        <v>1</v>
      </c>
      <c r="E3" s="32">
        <v>2</v>
      </c>
      <c r="F3" s="32">
        <v>3</v>
      </c>
      <c r="G3" s="32">
        <v>4</v>
      </c>
      <c r="H3" s="32">
        <v>5</v>
      </c>
      <c r="I3" s="32">
        <v>6</v>
      </c>
      <c r="J3" s="32">
        <v>7</v>
      </c>
      <c r="K3" s="32">
        <v>8</v>
      </c>
      <c r="L3" s="32">
        <v>9</v>
      </c>
      <c r="M3" s="32">
        <v>10</v>
      </c>
      <c r="N3" s="32">
        <v>11</v>
      </c>
      <c r="O3" s="32">
        <v>12</v>
      </c>
      <c r="P3" s="32">
        <v>13</v>
      </c>
      <c r="Q3" s="32">
        <v>14</v>
      </c>
      <c r="R3" s="39" t="s">
        <v>10</v>
      </c>
    </row>
    <row r="4" spans="1:18">
      <c r="A4" s="7" t="s">
        <v>13</v>
      </c>
      <c r="B4" s="7" t="s">
        <v>14</v>
      </c>
      <c r="C4" s="8" t="s">
        <v>15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9"/>
    </row>
    <row r="5" spans="1:18">
      <c r="A5" s="36">
        <v>1</v>
      </c>
      <c r="B5" s="37">
        <v>1261</v>
      </c>
      <c r="C5" s="36" t="s">
        <v>64</v>
      </c>
      <c r="D5" s="38">
        <v>0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40">
        <f t="shared" ref="R5:R35" si="0">AVERAGE(D5:Q5)</f>
        <v>0</v>
      </c>
    </row>
    <row r="6" spans="1:18">
      <c r="A6" s="36">
        <v>2</v>
      </c>
      <c r="B6" s="37">
        <v>1249</v>
      </c>
      <c r="C6" s="36" t="s">
        <v>65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40">
        <f t="shared" si="0"/>
        <v>0</v>
      </c>
    </row>
    <row r="7" spans="1:18">
      <c r="A7" s="36">
        <v>3</v>
      </c>
      <c r="B7" s="37">
        <v>1130</v>
      </c>
      <c r="C7" s="36" t="s">
        <v>66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40">
        <f t="shared" si="0"/>
        <v>0</v>
      </c>
    </row>
    <row r="8" spans="1:18">
      <c r="A8" s="36">
        <v>4</v>
      </c>
      <c r="B8" s="37">
        <v>605</v>
      </c>
      <c r="C8" s="36" t="s">
        <v>67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40">
        <f t="shared" si="0"/>
        <v>0</v>
      </c>
    </row>
    <row r="9" spans="1:18">
      <c r="A9" s="36">
        <v>5</v>
      </c>
      <c r="B9" s="37">
        <v>612</v>
      </c>
      <c r="C9" s="36" t="s">
        <v>68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40">
        <f t="shared" si="0"/>
        <v>0</v>
      </c>
    </row>
    <row r="10" spans="1:18">
      <c r="A10" s="36">
        <v>6</v>
      </c>
      <c r="B10" s="37">
        <v>1159</v>
      </c>
      <c r="C10" s="36" t="s">
        <v>69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40">
        <f t="shared" si="0"/>
        <v>0</v>
      </c>
    </row>
    <row r="11" spans="1:18">
      <c r="A11" s="36">
        <v>7</v>
      </c>
      <c r="B11" s="37">
        <v>1233</v>
      </c>
      <c r="C11" s="36" t="s">
        <v>70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40">
        <f t="shared" si="0"/>
        <v>0</v>
      </c>
    </row>
    <row r="12" spans="1:18">
      <c r="A12" s="36">
        <v>8</v>
      </c>
      <c r="B12" s="37">
        <v>1168</v>
      </c>
      <c r="C12" s="36" t="s">
        <v>71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40">
        <f t="shared" si="0"/>
        <v>0</v>
      </c>
    </row>
    <row r="13" spans="1:18">
      <c r="A13" s="36">
        <v>9</v>
      </c>
      <c r="B13" s="37">
        <v>1150</v>
      </c>
      <c r="C13" s="36" t="s">
        <v>72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40">
        <f t="shared" si="0"/>
        <v>0</v>
      </c>
    </row>
    <row r="14" spans="1:18">
      <c r="A14" s="36">
        <v>10</v>
      </c>
      <c r="B14" s="37">
        <v>1184</v>
      </c>
      <c r="C14" s="36" t="s">
        <v>73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40">
        <f t="shared" si="0"/>
        <v>0</v>
      </c>
    </row>
    <row r="15" spans="1:18">
      <c r="A15" s="36">
        <v>11</v>
      </c>
      <c r="B15" s="37">
        <v>1270</v>
      </c>
      <c r="C15" s="36" t="s">
        <v>74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40">
        <f t="shared" si="0"/>
        <v>0</v>
      </c>
    </row>
    <row r="16" spans="1:18">
      <c r="A16" s="36">
        <v>12</v>
      </c>
      <c r="B16" s="37">
        <v>1199</v>
      </c>
      <c r="C16" s="36" t="s">
        <v>75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40">
        <f t="shared" si="0"/>
        <v>0</v>
      </c>
    </row>
    <row r="17" spans="1:18">
      <c r="A17" s="36">
        <v>13</v>
      </c>
      <c r="B17" s="37" t="s">
        <v>28</v>
      </c>
      <c r="C17" s="36" t="s">
        <v>76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40">
        <f t="shared" si="0"/>
        <v>0</v>
      </c>
    </row>
    <row r="18" spans="1:18">
      <c r="A18" s="36">
        <v>14</v>
      </c>
      <c r="B18" s="37">
        <v>1246</v>
      </c>
      <c r="C18" s="36" t="s">
        <v>77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40">
        <f t="shared" si="0"/>
        <v>0</v>
      </c>
    </row>
    <row r="19" spans="1:18">
      <c r="A19" s="36">
        <v>15</v>
      </c>
      <c r="B19" s="37">
        <v>1156</v>
      </c>
      <c r="C19" s="36" t="s">
        <v>78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40">
        <f t="shared" si="0"/>
        <v>0</v>
      </c>
    </row>
    <row r="20" spans="1:18">
      <c r="A20" s="36">
        <v>16</v>
      </c>
      <c r="B20" s="37">
        <v>1187</v>
      </c>
      <c r="C20" s="36" t="s">
        <v>79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40">
        <f t="shared" si="0"/>
        <v>0</v>
      </c>
    </row>
    <row r="21" spans="1:18">
      <c r="A21" s="36">
        <v>17</v>
      </c>
      <c r="B21" s="37">
        <v>1202</v>
      </c>
      <c r="C21" s="36" t="s">
        <v>80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40">
        <f t="shared" si="0"/>
        <v>0</v>
      </c>
    </row>
    <row r="22" spans="1:18">
      <c r="A22" s="36">
        <v>18</v>
      </c>
      <c r="B22" s="37">
        <v>1147</v>
      </c>
      <c r="C22" s="36" t="s">
        <v>81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40">
        <f t="shared" si="0"/>
        <v>0</v>
      </c>
    </row>
    <row r="23" spans="1:18">
      <c r="A23" s="36">
        <v>19</v>
      </c>
      <c r="B23" s="37">
        <v>1193</v>
      </c>
      <c r="C23" s="36" t="s">
        <v>82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40">
        <f t="shared" si="0"/>
        <v>0</v>
      </c>
    </row>
    <row r="24" spans="1:18">
      <c r="A24" s="36">
        <v>20</v>
      </c>
      <c r="B24" s="37">
        <v>1209</v>
      </c>
      <c r="C24" s="36" t="s">
        <v>83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40">
        <f t="shared" si="0"/>
        <v>0</v>
      </c>
    </row>
    <row r="25" spans="1:18">
      <c r="A25" s="36">
        <v>21</v>
      </c>
      <c r="B25" s="37">
        <v>1153</v>
      </c>
      <c r="C25" s="36" t="s">
        <v>84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40">
        <f t="shared" si="0"/>
        <v>0</v>
      </c>
    </row>
    <row r="26" spans="1:18">
      <c r="A26" s="36">
        <v>22</v>
      </c>
      <c r="B26" s="37">
        <v>1068</v>
      </c>
      <c r="C26" s="36" t="s">
        <v>85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40">
        <f t="shared" si="0"/>
        <v>0</v>
      </c>
    </row>
    <row r="27" spans="1:18">
      <c r="A27" s="36">
        <v>23</v>
      </c>
      <c r="B27" s="37">
        <v>1244</v>
      </c>
      <c r="C27" s="36" t="s">
        <v>86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40">
        <f t="shared" si="0"/>
        <v>0</v>
      </c>
    </row>
    <row r="28" spans="1:18">
      <c r="A28" s="36">
        <v>24</v>
      </c>
      <c r="B28" s="37">
        <v>719</v>
      </c>
      <c r="C28" s="36" t="s">
        <v>87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40">
        <f t="shared" si="0"/>
        <v>0</v>
      </c>
    </row>
    <row r="29" spans="1:18">
      <c r="A29" s="36">
        <v>25</v>
      </c>
      <c r="B29" s="37">
        <v>1259</v>
      </c>
      <c r="C29" s="36" t="s">
        <v>88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40">
        <f t="shared" si="0"/>
        <v>0</v>
      </c>
    </row>
    <row r="30" spans="1:18">
      <c r="A30" s="36">
        <v>26</v>
      </c>
      <c r="B30" s="37">
        <v>1267</v>
      </c>
      <c r="C30" s="36" t="s">
        <v>89</v>
      </c>
      <c r="D30" s="38">
        <v>0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40">
        <f t="shared" si="0"/>
        <v>0</v>
      </c>
    </row>
    <row r="31" spans="1:18">
      <c r="A31" s="36">
        <v>27</v>
      </c>
      <c r="B31" s="37">
        <v>1206</v>
      </c>
      <c r="C31" s="36" t="s">
        <v>90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40">
        <f t="shared" si="0"/>
        <v>0</v>
      </c>
    </row>
    <row r="32" spans="1:18">
      <c r="A32" s="36">
        <v>28</v>
      </c>
      <c r="B32" s="37">
        <v>1144</v>
      </c>
      <c r="C32" s="36" t="s">
        <v>91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40">
        <f t="shared" si="0"/>
        <v>0</v>
      </c>
    </row>
    <row r="33" spans="1:18">
      <c r="A33" s="36">
        <v>29</v>
      </c>
      <c r="B33" s="37">
        <v>1137</v>
      </c>
      <c r="C33" s="36" t="s">
        <v>92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40">
        <f t="shared" si="0"/>
        <v>0</v>
      </c>
    </row>
    <row r="34" spans="1:18">
      <c r="A34" s="36">
        <v>30</v>
      </c>
      <c r="B34" s="37">
        <v>1216</v>
      </c>
      <c r="C34" s="36" t="s">
        <v>93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40">
        <f t="shared" si="0"/>
        <v>0</v>
      </c>
    </row>
    <row r="35" spans="1:18">
      <c r="A35" s="36">
        <v>31</v>
      </c>
      <c r="B35" s="37">
        <v>1254</v>
      </c>
      <c r="C35" s="36" t="s">
        <v>94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40">
        <f t="shared" si="0"/>
        <v>0</v>
      </c>
    </row>
  </sheetData>
  <mergeCells count="4">
    <mergeCell ref="A1:C1"/>
    <mergeCell ref="D1:R1"/>
    <mergeCell ref="C2:C3"/>
    <mergeCell ref="A2:B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35"/>
  <sheetViews>
    <sheetView zoomScale="70" zoomScaleNormal="70" workbookViewId="0">
      <selection activeCell="D6" sqref="D6:E6"/>
    </sheetView>
  </sheetViews>
  <sheetFormatPr defaultColWidth="9" defaultRowHeight="13.8"/>
  <cols>
    <col min="3" max="3" width="12.5666666666667" customWidth="1"/>
    <col min="4" max="4" width="34.8583333333333" customWidth="1"/>
    <col min="5" max="6" width="4.28333333333333" customWidth="1"/>
    <col min="7" max="7" width="4.70833333333333" customWidth="1"/>
    <col min="8" max="9" width="4.28333333333333" customWidth="1"/>
    <col min="10" max="10" width="4.70833333333333" customWidth="1"/>
    <col min="11" max="24" width="4.28333333333333" customWidth="1"/>
    <col min="25" max="25" width="4.70833333333333" customWidth="1"/>
    <col min="26" max="27" width="4.28333333333333" customWidth="1"/>
    <col min="28" max="28" width="9.56666666666667" customWidth="1"/>
  </cols>
  <sheetData>
    <row r="2" spans="2:28">
      <c r="B2" s="22" t="s">
        <v>0</v>
      </c>
      <c r="C2" s="22"/>
      <c r="D2" s="22"/>
      <c r="E2" s="22" t="s">
        <v>1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2:28">
      <c r="B3" s="23"/>
      <c r="C3" s="23"/>
      <c r="D3" s="24" t="s">
        <v>49</v>
      </c>
      <c r="E3" s="25">
        <v>1</v>
      </c>
      <c r="F3" s="25">
        <v>2</v>
      </c>
      <c r="G3" s="25">
        <v>3</v>
      </c>
      <c r="H3" s="25">
        <v>4</v>
      </c>
      <c r="I3" s="25">
        <v>5</v>
      </c>
      <c r="J3" s="25">
        <v>6</v>
      </c>
      <c r="K3" s="25">
        <v>7</v>
      </c>
      <c r="L3" s="25">
        <v>8</v>
      </c>
      <c r="M3" s="25">
        <v>9</v>
      </c>
      <c r="N3" s="25">
        <v>10</v>
      </c>
      <c r="O3" s="25">
        <v>11</v>
      </c>
      <c r="P3" s="25">
        <v>12</v>
      </c>
      <c r="Q3" s="25">
        <v>13</v>
      </c>
      <c r="R3" s="25">
        <v>14</v>
      </c>
      <c r="S3" s="25">
        <v>15</v>
      </c>
      <c r="T3" s="25">
        <v>16</v>
      </c>
      <c r="U3" s="25">
        <v>17</v>
      </c>
      <c r="V3" s="25">
        <v>18</v>
      </c>
      <c r="W3" s="25">
        <v>19</v>
      </c>
      <c r="X3" s="25">
        <v>20</v>
      </c>
      <c r="Y3" s="25">
        <v>21</v>
      </c>
      <c r="Z3" s="25">
        <v>22</v>
      </c>
      <c r="AA3" s="25">
        <v>23</v>
      </c>
      <c r="AB3" s="25" t="s">
        <v>10</v>
      </c>
    </row>
    <row r="4" spans="2:28">
      <c r="B4" s="26" t="s">
        <v>13</v>
      </c>
      <c r="C4" s="26" t="s">
        <v>14</v>
      </c>
      <c r="D4" s="27" t="s">
        <v>15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3"/>
    </row>
    <row r="5" spans="2:28">
      <c r="B5" s="29">
        <v>1</v>
      </c>
      <c r="C5" s="29">
        <v>1044</v>
      </c>
      <c r="D5" s="28" t="s">
        <v>95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1">
        <f t="shared" ref="AB5:AB35" si="0">AVERAGE(E5:Z5)</f>
        <v>0</v>
      </c>
    </row>
    <row r="6" spans="2:28">
      <c r="B6" s="29">
        <v>2</v>
      </c>
      <c r="C6" s="29">
        <v>879</v>
      </c>
      <c r="D6" s="28" t="s">
        <v>96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1">
        <f t="shared" si="0"/>
        <v>0</v>
      </c>
    </row>
    <row r="7" spans="2:28">
      <c r="B7" s="29">
        <v>3</v>
      </c>
      <c r="C7" s="29">
        <v>1052</v>
      </c>
      <c r="D7" s="28" t="s">
        <v>97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1">
        <f t="shared" si="0"/>
        <v>0</v>
      </c>
    </row>
    <row r="8" spans="2:28">
      <c r="B8" s="29">
        <v>4</v>
      </c>
      <c r="C8" s="29">
        <v>1114</v>
      </c>
      <c r="D8" s="28" t="s">
        <v>98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1">
        <f t="shared" si="0"/>
        <v>0</v>
      </c>
    </row>
    <row r="9" spans="2:28">
      <c r="B9" s="29">
        <v>5</v>
      </c>
      <c r="C9" s="29">
        <v>900</v>
      </c>
      <c r="D9" s="28" t="s">
        <v>99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1">
        <f t="shared" si="0"/>
        <v>0</v>
      </c>
    </row>
    <row r="10" spans="2:28">
      <c r="B10" s="29">
        <v>6</v>
      </c>
      <c r="C10" s="29">
        <v>1058</v>
      </c>
      <c r="D10" s="28" t="s">
        <v>100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1">
        <f t="shared" si="0"/>
        <v>0</v>
      </c>
    </row>
    <row r="11" spans="2:28">
      <c r="B11" s="29">
        <v>7</v>
      </c>
      <c r="C11" s="29">
        <v>1018</v>
      </c>
      <c r="D11" s="28" t="s">
        <v>101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1">
        <f t="shared" si="0"/>
        <v>0</v>
      </c>
    </row>
    <row r="12" spans="2:28">
      <c r="B12" s="29">
        <v>8</v>
      </c>
      <c r="C12" s="29">
        <v>714</v>
      </c>
      <c r="D12" s="28" t="s">
        <v>102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1">
        <f t="shared" si="0"/>
        <v>0</v>
      </c>
    </row>
    <row r="13" spans="2:28">
      <c r="B13" s="29">
        <v>9</v>
      </c>
      <c r="C13" s="29">
        <v>1010</v>
      </c>
      <c r="D13" s="28" t="s">
        <v>103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1">
        <f t="shared" si="0"/>
        <v>0</v>
      </c>
    </row>
    <row r="14" spans="2:28">
      <c r="B14" s="29">
        <v>10</v>
      </c>
      <c r="C14" s="29">
        <v>1211</v>
      </c>
      <c r="D14" s="28" t="s">
        <v>104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1">
        <f t="shared" si="0"/>
        <v>0</v>
      </c>
    </row>
    <row r="15" spans="2:28">
      <c r="B15" s="29">
        <v>11</v>
      </c>
      <c r="C15" s="29">
        <v>880</v>
      </c>
      <c r="D15" s="28" t="s">
        <v>105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1">
        <f t="shared" si="0"/>
        <v>0</v>
      </c>
    </row>
    <row r="16" spans="2:28">
      <c r="B16" s="29">
        <v>12</v>
      </c>
      <c r="C16" s="29">
        <v>1199</v>
      </c>
      <c r="D16" s="28" t="s">
        <v>27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1">
        <f t="shared" si="0"/>
        <v>0</v>
      </c>
    </row>
    <row r="17" spans="2:28">
      <c r="B17" s="29">
        <v>13</v>
      </c>
      <c r="C17" s="29" t="s">
        <v>28</v>
      </c>
      <c r="D17" s="28" t="s">
        <v>29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1">
        <f t="shared" si="0"/>
        <v>0</v>
      </c>
    </row>
    <row r="18" spans="2:28">
      <c r="B18" s="29">
        <v>14</v>
      </c>
      <c r="C18" s="29">
        <v>1246</v>
      </c>
      <c r="D18" s="28" t="s">
        <v>30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1">
        <f t="shared" si="0"/>
        <v>0</v>
      </c>
    </row>
    <row r="19" spans="2:28">
      <c r="B19" s="29">
        <v>15</v>
      </c>
      <c r="C19" s="29">
        <v>1156</v>
      </c>
      <c r="D19" s="28" t="s">
        <v>31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1">
        <f t="shared" si="0"/>
        <v>0</v>
      </c>
    </row>
    <row r="20" spans="2:28">
      <c r="B20" s="29">
        <v>16</v>
      </c>
      <c r="C20" s="29">
        <v>1187</v>
      </c>
      <c r="D20" s="28" t="s">
        <v>32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1">
        <f t="shared" si="0"/>
        <v>0</v>
      </c>
    </row>
    <row r="21" spans="2:28">
      <c r="B21" s="29">
        <v>17</v>
      </c>
      <c r="C21" s="29">
        <v>1202</v>
      </c>
      <c r="D21" s="28" t="s">
        <v>33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1">
        <f t="shared" si="0"/>
        <v>0</v>
      </c>
    </row>
    <row r="22" spans="2:28">
      <c r="B22" s="29">
        <v>18</v>
      </c>
      <c r="C22" s="29">
        <v>1147</v>
      </c>
      <c r="D22" s="28" t="s">
        <v>34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1">
        <f t="shared" si="0"/>
        <v>0</v>
      </c>
    </row>
    <row r="23" spans="2:28">
      <c r="B23" s="29">
        <v>19</v>
      </c>
      <c r="C23" s="29">
        <v>1193</v>
      </c>
      <c r="D23" s="28" t="s">
        <v>35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1">
        <f t="shared" si="0"/>
        <v>0</v>
      </c>
    </row>
    <row r="24" spans="2:28">
      <c r="B24" s="29">
        <v>20</v>
      </c>
      <c r="C24" s="29">
        <v>1209</v>
      </c>
      <c r="D24" s="28" t="s">
        <v>36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1">
        <f t="shared" si="0"/>
        <v>0</v>
      </c>
    </row>
    <row r="25" spans="2:28">
      <c r="B25" s="29">
        <v>21</v>
      </c>
      <c r="C25" s="29">
        <v>1153</v>
      </c>
      <c r="D25" s="28" t="s">
        <v>37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1">
        <f t="shared" si="0"/>
        <v>0</v>
      </c>
    </row>
    <row r="26" spans="2:28">
      <c r="B26" s="29">
        <v>22</v>
      </c>
      <c r="C26" s="29">
        <v>1068</v>
      </c>
      <c r="D26" s="28" t="s">
        <v>38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1">
        <f t="shared" si="0"/>
        <v>0</v>
      </c>
    </row>
    <row r="27" spans="2:28">
      <c r="B27" s="29">
        <v>23</v>
      </c>
      <c r="C27" s="29">
        <v>1244</v>
      </c>
      <c r="D27" s="28" t="s">
        <v>39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1">
        <f t="shared" si="0"/>
        <v>0</v>
      </c>
    </row>
    <row r="28" spans="2:28">
      <c r="B28" s="29">
        <v>24</v>
      </c>
      <c r="C28" s="29">
        <v>719</v>
      </c>
      <c r="D28" s="28" t="s">
        <v>40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1">
        <f t="shared" si="0"/>
        <v>0</v>
      </c>
    </row>
    <row r="29" spans="2:28">
      <c r="B29" s="29">
        <v>25</v>
      </c>
      <c r="C29" s="29">
        <v>1259</v>
      </c>
      <c r="D29" s="28" t="s">
        <v>41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1">
        <f t="shared" si="0"/>
        <v>0</v>
      </c>
    </row>
    <row r="30" spans="2:28">
      <c r="B30" s="29">
        <v>26</v>
      </c>
      <c r="C30" s="29">
        <v>1267</v>
      </c>
      <c r="D30" s="28" t="s">
        <v>42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1">
        <f t="shared" si="0"/>
        <v>0</v>
      </c>
    </row>
    <row r="31" spans="2:28">
      <c r="B31" s="29">
        <v>27</v>
      </c>
      <c r="C31" s="29">
        <v>1206</v>
      </c>
      <c r="D31" s="28" t="s">
        <v>43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1">
        <f t="shared" si="0"/>
        <v>0</v>
      </c>
    </row>
    <row r="32" spans="2:28">
      <c r="B32" s="29">
        <v>28</v>
      </c>
      <c r="C32" s="29">
        <v>1144</v>
      </c>
      <c r="D32" s="28" t="s">
        <v>44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1">
        <f t="shared" si="0"/>
        <v>0</v>
      </c>
    </row>
    <row r="33" spans="2:28">
      <c r="B33" s="29">
        <v>29</v>
      </c>
      <c r="C33" s="29">
        <v>1137</v>
      </c>
      <c r="D33" s="28" t="s">
        <v>45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1">
        <f t="shared" si="0"/>
        <v>0</v>
      </c>
    </row>
    <row r="34" spans="2:28">
      <c r="B34" s="29">
        <v>30</v>
      </c>
      <c r="C34" s="29">
        <v>1216</v>
      </c>
      <c r="D34" s="28" t="s">
        <v>46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1">
        <f t="shared" si="0"/>
        <v>0</v>
      </c>
    </row>
    <row r="35" spans="2:28">
      <c r="B35" s="29">
        <v>31</v>
      </c>
      <c r="C35" s="29">
        <v>1254</v>
      </c>
      <c r="D35" s="28" t="s">
        <v>47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1">
        <f t="shared" si="0"/>
        <v>0</v>
      </c>
    </row>
  </sheetData>
  <mergeCells count="2">
    <mergeCell ref="B2:D2"/>
    <mergeCell ref="E2:AB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D4" sqref="D4"/>
    </sheetView>
  </sheetViews>
  <sheetFormatPr defaultColWidth="9" defaultRowHeight="13.8" outlineLevelCol="5"/>
  <cols>
    <col min="2" max="2" width="16.25" customWidth="1"/>
    <col min="3" max="3" width="43.875" customWidth="1"/>
    <col min="4" max="4" width="51" customWidth="1"/>
    <col min="5" max="5" width="60.375" customWidth="1"/>
    <col min="6" max="6" width="13.125" customWidth="1"/>
  </cols>
  <sheetData>
    <row r="1" spans="1:5">
      <c r="A1" s="1" t="s">
        <v>0</v>
      </c>
      <c r="B1" s="2"/>
      <c r="C1" s="3"/>
      <c r="D1" s="1" t="s">
        <v>106</v>
      </c>
      <c r="E1" s="3"/>
    </row>
    <row r="2" spans="1:5">
      <c r="A2" s="4"/>
      <c r="B2" s="4"/>
      <c r="C2" s="5" t="s">
        <v>107</v>
      </c>
      <c r="D2" s="6" t="s">
        <v>108</v>
      </c>
      <c r="E2" s="6" t="s">
        <v>109</v>
      </c>
    </row>
    <row r="3" spans="1:6">
      <c r="A3" s="7" t="s">
        <v>13</v>
      </c>
      <c r="B3" s="7" t="s">
        <v>14</v>
      </c>
      <c r="C3" s="8" t="s">
        <v>15</v>
      </c>
      <c r="D3" s="9"/>
      <c r="E3" s="9"/>
      <c r="F3" s="10" t="s">
        <v>110</v>
      </c>
    </row>
    <row r="4" spans="1:5">
      <c r="A4" s="11">
        <v>1</v>
      </c>
      <c r="B4" s="11">
        <v>1261</v>
      </c>
      <c r="C4" s="12" t="s">
        <v>16</v>
      </c>
      <c r="D4" s="13" t="s">
        <v>111</v>
      </c>
      <c r="E4" s="14" t="s">
        <v>112</v>
      </c>
    </row>
    <row r="5" spans="1:5">
      <c r="A5" s="11">
        <v>2</v>
      </c>
      <c r="B5" s="11">
        <v>1249</v>
      </c>
      <c r="C5" s="14" t="s">
        <v>17</v>
      </c>
      <c r="D5" s="12" t="s">
        <v>113</v>
      </c>
      <c r="E5" s="14" t="s">
        <v>112</v>
      </c>
    </row>
    <row r="6" spans="1:5">
      <c r="A6" s="11">
        <v>3</v>
      </c>
      <c r="B6" s="11">
        <v>1130</v>
      </c>
      <c r="C6" s="9" t="s">
        <v>18</v>
      </c>
      <c r="D6" s="9" t="s">
        <v>114</v>
      </c>
      <c r="E6" s="15" t="s">
        <v>115</v>
      </c>
    </row>
    <row r="7" spans="1:5">
      <c r="A7" s="11">
        <v>4</v>
      </c>
      <c r="B7" s="11">
        <v>605</v>
      </c>
      <c r="C7" s="9" t="s">
        <v>19</v>
      </c>
      <c r="D7" s="9" t="s">
        <v>116</v>
      </c>
      <c r="E7" s="15" t="s">
        <v>117</v>
      </c>
    </row>
    <row r="8" spans="1:5">
      <c r="A8" s="11">
        <v>5</v>
      </c>
      <c r="B8" s="11">
        <v>612</v>
      </c>
      <c r="C8" s="9" t="s">
        <v>20</v>
      </c>
      <c r="D8" s="9" t="s">
        <v>118</v>
      </c>
      <c r="E8" s="15" t="s">
        <v>119</v>
      </c>
    </row>
    <row r="9" spans="1:5">
      <c r="A9" s="11">
        <v>6</v>
      </c>
      <c r="B9" s="11">
        <v>1159</v>
      </c>
      <c r="C9" s="9" t="s">
        <v>21</v>
      </c>
      <c r="D9" s="9" t="s">
        <v>120</v>
      </c>
      <c r="E9" s="15" t="s">
        <v>121</v>
      </c>
    </row>
    <row r="10" spans="1:5">
      <c r="A10" s="11">
        <v>7</v>
      </c>
      <c r="B10" s="11">
        <v>1233</v>
      </c>
      <c r="C10" s="9" t="s">
        <v>22</v>
      </c>
      <c r="D10" s="9" t="s">
        <v>122</v>
      </c>
      <c r="E10" s="15" t="s">
        <v>123</v>
      </c>
    </row>
    <row r="11" spans="1:5">
      <c r="A11" s="11">
        <v>8</v>
      </c>
      <c r="B11" s="11">
        <v>1168</v>
      </c>
      <c r="C11" s="9" t="s">
        <v>23</v>
      </c>
      <c r="D11" s="9" t="s">
        <v>124</v>
      </c>
      <c r="E11" s="16" t="s">
        <v>112</v>
      </c>
    </row>
    <row r="12" spans="1:5">
      <c r="A12" s="11">
        <v>9</v>
      </c>
      <c r="B12" s="11">
        <v>1150</v>
      </c>
      <c r="C12" s="9" t="s">
        <v>24</v>
      </c>
      <c r="D12" s="17" t="s">
        <v>125</v>
      </c>
      <c r="E12" s="15" t="s">
        <v>126</v>
      </c>
    </row>
    <row r="13" spans="1:5">
      <c r="A13" s="11">
        <v>10</v>
      </c>
      <c r="B13" s="11">
        <v>1184</v>
      </c>
      <c r="C13" s="14" t="s">
        <v>25</v>
      </c>
      <c r="D13" s="12" t="s">
        <v>127</v>
      </c>
      <c r="E13" s="14" t="s">
        <v>112</v>
      </c>
    </row>
    <row r="14" spans="1:5">
      <c r="A14" s="11">
        <v>11</v>
      </c>
      <c r="B14" s="11">
        <v>1270</v>
      </c>
      <c r="C14" s="14" t="s">
        <v>26</v>
      </c>
      <c r="D14" s="14" t="s">
        <v>128</v>
      </c>
      <c r="E14" s="14" t="s">
        <v>112</v>
      </c>
    </row>
    <row r="15" spans="1:5">
      <c r="A15" s="11">
        <v>12</v>
      </c>
      <c r="B15" s="11">
        <v>1199</v>
      </c>
      <c r="C15" s="9" t="s">
        <v>27</v>
      </c>
      <c r="D15" s="9" t="s">
        <v>129</v>
      </c>
      <c r="E15" s="15" t="s">
        <v>130</v>
      </c>
    </row>
    <row r="16" spans="1:5">
      <c r="A16" s="11">
        <v>13</v>
      </c>
      <c r="B16" s="11" t="s">
        <v>28</v>
      </c>
      <c r="C16" s="18" t="s">
        <v>29</v>
      </c>
      <c r="D16" s="19" t="s">
        <v>131</v>
      </c>
      <c r="E16" s="15" t="s">
        <v>132</v>
      </c>
    </row>
    <row r="17" spans="1:5">
      <c r="A17" s="11">
        <v>14</v>
      </c>
      <c r="B17" s="11">
        <v>1246</v>
      </c>
      <c r="C17" s="9" t="s">
        <v>30</v>
      </c>
      <c r="D17" s="9" t="s">
        <v>133</v>
      </c>
      <c r="E17" s="16" t="s">
        <v>134</v>
      </c>
    </row>
    <row r="18" spans="1:5">
      <c r="A18" s="11">
        <v>15</v>
      </c>
      <c r="B18" s="11">
        <v>1156</v>
      </c>
      <c r="C18" s="9" t="s">
        <v>31</v>
      </c>
      <c r="D18" s="9" t="s">
        <v>135</v>
      </c>
      <c r="E18" s="16" t="s">
        <v>112</v>
      </c>
    </row>
    <row r="19" spans="1:5">
      <c r="A19" s="11">
        <v>16</v>
      </c>
      <c r="B19" s="11">
        <v>1187</v>
      </c>
      <c r="C19" s="9" t="s">
        <v>32</v>
      </c>
      <c r="D19" s="9" t="s">
        <v>136</v>
      </c>
      <c r="E19" s="15" t="s">
        <v>137</v>
      </c>
    </row>
    <row r="20" spans="1:5">
      <c r="A20" s="11">
        <v>17</v>
      </c>
      <c r="B20" s="11">
        <v>1202</v>
      </c>
      <c r="C20" s="9" t="s">
        <v>33</v>
      </c>
      <c r="D20" s="9" t="s">
        <v>138</v>
      </c>
      <c r="E20" s="15" t="s">
        <v>139</v>
      </c>
    </row>
    <row r="21" spans="1:5">
      <c r="A21" s="11">
        <v>18</v>
      </c>
      <c r="B21" s="11">
        <v>1147</v>
      </c>
      <c r="C21" s="19" t="s">
        <v>34</v>
      </c>
      <c r="D21" s="17" t="s">
        <v>125</v>
      </c>
      <c r="E21" s="15" t="s">
        <v>140</v>
      </c>
    </row>
    <row r="22" spans="1:5">
      <c r="A22" s="11">
        <v>19</v>
      </c>
      <c r="B22" s="11">
        <v>1193</v>
      </c>
      <c r="C22" s="19" t="s">
        <v>35</v>
      </c>
      <c r="D22" t="s">
        <v>141</v>
      </c>
      <c r="E22" s="16" t="s">
        <v>112</v>
      </c>
    </row>
    <row r="23" spans="1:5">
      <c r="A23" s="11">
        <v>20</v>
      </c>
      <c r="B23" s="11">
        <v>1209</v>
      </c>
      <c r="C23" s="9" t="s">
        <v>36</v>
      </c>
      <c r="D23" s="9" t="s">
        <v>142</v>
      </c>
      <c r="E23" s="15" t="s">
        <v>143</v>
      </c>
    </row>
    <row r="24" spans="1:5">
      <c r="A24" s="11">
        <v>21</v>
      </c>
      <c r="B24" s="11">
        <v>1153</v>
      </c>
      <c r="C24" s="9" t="s">
        <v>37</v>
      </c>
      <c r="D24" s="9" t="s">
        <v>144</v>
      </c>
      <c r="E24" s="15" t="s">
        <v>145</v>
      </c>
    </row>
    <row r="25" spans="1:5">
      <c r="A25" s="11">
        <v>22</v>
      </c>
      <c r="B25" s="11">
        <v>1068</v>
      </c>
      <c r="C25" s="20" t="s">
        <v>38</v>
      </c>
      <c r="D25" s="19" t="s">
        <v>146</v>
      </c>
      <c r="E25" s="15" t="s">
        <v>147</v>
      </c>
    </row>
    <row r="26" spans="1:5">
      <c r="A26" s="11">
        <v>23</v>
      </c>
      <c r="B26" s="11">
        <v>1244</v>
      </c>
      <c r="C26" s="20" t="s">
        <v>39</v>
      </c>
      <c r="D26" s="9" t="s">
        <v>148</v>
      </c>
      <c r="E26" s="16" t="s">
        <v>112</v>
      </c>
    </row>
    <row r="27" spans="1:5">
      <c r="A27" s="11">
        <v>24</v>
      </c>
      <c r="B27" s="11">
        <v>719</v>
      </c>
      <c r="C27" s="9" t="s">
        <v>40</v>
      </c>
      <c r="D27" s="9" t="s">
        <v>149</v>
      </c>
      <c r="E27" s="16" t="s">
        <v>150</v>
      </c>
    </row>
    <row r="28" spans="1:5">
      <c r="A28" s="11">
        <v>25</v>
      </c>
      <c r="B28" s="11">
        <v>1259</v>
      </c>
      <c r="C28" s="9" t="s">
        <v>41</v>
      </c>
      <c r="D28" s="9" t="s">
        <v>151</v>
      </c>
      <c r="E28" s="16" t="s">
        <v>152</v>
      </c>
    </row>
    <row r="29" spans="1:5">
      <c r="A29" s="11">
        <v>26</v>
      </c>
      <c r="B29" s="11">
        <v>1267</v>
      </c>
      <c r="C29" s="12" t="s">
        <v>42</v>
      </c>
      <c r="D29" s="9" t="s">
        <v>153</v>
      </c>
      <c r="E29" s="14" t="s">
        <v>112</v>
      </c>
    </row>
    <row r="30" spans="1:5">
      <c r="A30" s="11">
        <v>27</v>
      </c>
      <c r="B30" s="11">
        <v>1206</v>
      </c>
      <c r="C30" s="12" t="s">
        <v>43</v>
      </c>
      <c r="D30" s="9" t="s">
        <v>154</v>
      </c>
      <c r="E30" s="14" t="s">
        <v>112</v>
      </c>
    </row>
    <row r="31" spans="1:5">
      <c r="A31" s="11">
        <v>28</v>
      </c>
      <c r="B31" s="11">
        <v>1144</v>
      </c>
      <c r="C31" s="12" t="s">
        <v>44</v>
      </c>
      <c r="D31" s="9" t="s">
        <v>138</v>
      </c>
      <c r="E31" s="14" t="s">
        <v>112</v>
      </c>
    </row>
    <row r="32" spans="1:5">
      <c r="A32" s="11">
        <v>29</v>
      </c>
      <c r="B32" s="11">
        <v>1137</v>
      </c>
      <c r="C32" s="21" t="s">
        <v>45</v>
      </c>
      <c r="D32" s="21" t="s">
        <v>155</v>
      </c>
      <c r="E32" s="15" t="s">
        <v>156</v>
      </c>
    </row>
    <row r="33" spans="1:5">
      <c r="A33" s="11">
        <v>30</v>
      </c>
      <c r="B33" s="11">
        <v>1216</v>
      </c>
      <c r="C33" s="9" t="s">
        <v>46</v>
      </c>
      <c r="D33" s="9" t="s">
        <v>157</v>
      </c>
      <c r="E33" s="15" t="s">
        <v>158</v>
      </c>
    </row>
    <row r="34" spans="1:5">
      <c r="A34" s="11">
        <v>31</v>
      </c>
      <c r="B34" s="11">
        <v>1254</v>
      </c>
      <c r="C34" s="9" t="s">
        <v>47</v>
      </c>
      <c r="D34" s="8" t="s">
        <v>159</v>
      </c>
      <c r="E34" s="15" t="s">
        <v>160</v>
      </c>
    </row>
  </sheetData>
  <mergeCells count="2">
    <mergeCell ref="A1:C1"/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Calificaciones</vt:lpstr>
      <vt:lpstr>TAREAS  </vt:lpstr>
      <vt:lpstr>OTRA </vt:lpstr>
      <vt:lpstr>INCIDENCIA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activ</cp:lastModifiedBy>
  <dcterms:created xsi:type="dcterms:W3CDTF">2025-11-01T17:31:00Z</dcterms:created>
  <dcterms:modified xsi:type="dcterms:W3CDTF">2025-11-13T00:59:39Z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26AFD94BF6204D1E942F1AE1FD0FF63D_12</vt:lpwstr>
  </property>
  <property fmtid="{D5CDD505-2E9C-101B-9397-08002B2CF9AE}" pid="3" name="KSOProductBuildVer">
    <vt:lpwstr>2058-12.2.0.23155</vt:lpwstr>
  </property>
</Properties>
</file>