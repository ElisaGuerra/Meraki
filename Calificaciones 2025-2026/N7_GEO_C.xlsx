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SE2GA\Documents\Personal\Tere Guerra\Meraki\Calificaciones 2025-2026\"/>
    </mc:Choice>
  </mc:AlternateContent>
  <xr:revisionPtr revIDLastSave="0" documentId="8_{9B93D4BE-62A6-4385-910E-40D753FFEF8F}" xr6:coauthVersionLast="47" xr6:coauthVersionMax="47" xr10:uidLastSave="{00000000-0000-0000-0000-000000000000}"/>
  <bookViews>
    <workbookView xWindow="22932" yWindow="-96" windowWidth="23256" windowHeight="12456" activeTab="1" xr2:uid="{B2EF7373-A7E6-423B-9BCC-817B77FBEC7D}"/>
  </bookViews>
  <sheets>
    <sheet name="Calificaciones" sheetId="3" r:id="rId1"/>
    <sheet name="Tarea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6" i="1" l="1"/>
  <c r="AB17" i="1"/>
  <c r="I18" i="3" s="1"/>
  <c r="L18" i="3" s="1"/>
  <c r="AB18" i="1"/>
  <c r="I19" i="3" s="1"/>
  <c r="L19" i="3" s="1"/>
  <c r="AB19" i="1"/>
  <c r="I20" i="3" s="1"/>
  <c r="L20" i="3" s="1"/>
  <c r="AB20" i="1"/>
  <c r="I21" i="3" s="1"/>
  <c r="L21" i="3" s="1"/>
  <c r="AB21" i="1"/>
  <c r="I22" i="3" s="1"/>
  <c r="L22" i="3" s="1"/>
  <c r="AB22" i="1"/>
  <c r="I23" i="3" s="1"/>
  <c r="L23" i="3" s="1"/>
  <c r="AB23" i="1"/>
  <c r="I24" i="3" s="1"/>
  <c r="L24" i="3" s="1"/>
  <c r="AB24" i="1"/>
  <c r="I25" i="3" s="1"/>
  <c r="L25" i="3" s="1"/>
  <c r="AB25" i="1"/>
  <c r="I26" i="3" s="1"/>
  <c r="L26" i="3" s="1"/>
  <c r="AB26" i="1"/>
  <c r="I27" i="3" s="1"/>
  <c r="L27" i="3" s="1"/>
  <c r="AB27" i="1"/>
  <c r="I28" i="3" s="1"/>
  <c r="L28" i="3" s="1"/>
  <c r="AB28" i="1"/>
  <c r="I29" i="3" s="1"/>
  <c r="L29" i="3" s="1"/>
  <c r="AB29" i="1"/>
  <c r="I30" i="3" s="1"/>
  <c r="L30" i="3" s="1"/>
  <c r="AB30" i="1"/>
  <c r="I31" i="3" s="1"/>
  <c r="L31" i="3" s="1"/>
  <c r="AB31" i="1"/>
  <c r="I32" i="3" s="1"/>
  <c r="L32" i="3" s="1"/>
  <c r="AB32" i="1"/>
  <c r="I33" i="3" s="1"/>
  <c r="L33" i="3" s="1"/>
  <c r="AB33" i="1"/>
  <c r="I34" i="3" s="1"/>
  <c r="L34" i="3" s="1"/>
  <c r="AB34" i="1"/>
  <c r="I35" i="3" s="1"/>
  <c r="L35" i="3" s="1"/>
  <c r="AB35" i="1"/>
  <c r="I36" i="3" s="1"/>
  <c r="L36" i="3" s="1"/>
  <c r="G37" i="3"/>
  <c r="H37" i="3"/>
  <c r="J37" i="3"/>
  <c r="K37" i="3"/>
  <c r="I17" i="3"/>
  <c r="L17" i="3" s="1"/>
  <c r="F37" i="3"/>
  <c r="E37" i="3"/>
  <c r="AB15" i="1"/>
  <c r="I16" i="3" s="1"/>
  <c r="L16" i="3" s="1"/>
  <c r="AB6" i="1"/>
  <c r="I7" i="3" s="1"/>
  <c r="L7" i="3" s="1"/>
  <c r="AB7" i="1"/>
  <c r="I8" i="3" s="1"/>
  <c r="L8" i="3" s="1"/>
  <c r="AB8" i="1"/>
  <c r="I9" i="3" s="1"/>
  <c r="L9" i="3" s="1"/>
  <c r="AB9" i="1"/>
  <c r="I10" i="3" s="1"/>
  <c r="L10" i="3" s="1"/>
  <c r="AB10" i="1"/>
  <c r="I11" i="3" s="1"/>
  <c r="L11" i="3" s="1"/>
  <c r="AB11" i="1"/>
  <c r="I12" i="3" s="1"/>
  <c r="L12" i="3" s="1"/>
  <c r="AB12" i="1"/>
  <c r="I13" i="3" s="1"/>
  <c r="L13" i="3" s="1"/>
  <c r="AB13" i="1"/>
  <c r="I14" i="3" s="1"/>
  <c r="L14" i="3" s="1"/>
  <c r="AB14" i="1"/>
  <c r="I15" i="3" s="1"/>
  <c r="L15" i="3" s="1"/>
  <c r="AB5" i="1"/>
  <c r="I6" i="3" s="1"/>
  <c r="L6" i="3" s="1"/>
  <c r="I37" i="3" l="1"/>
  <c r="L37" i="3"/>
</calcChain>
</file>

<file path=xl/sharedStrings.xml><?xml version="1.0" encoding="utf-8"?>
<sst xmlns="http://schemas.openxmlformats.org/spreadsheetml/2006/main" count="88" uniqueCount="61">
  <si>
    <t>No.</t>
  </si>
  <si>
    <t>Matrícula</t>
  </si>
  <si>
    <t>Nombre del Alumno</t>
  </si>
  <si>
    <t>Examen 1</t>
  </si>
  <si>
    <t>Examen 2</t>
  </si>
  <si>
    <t>Examen Trimestral</t>
  </si>
  <si>
    <t>Disciplina</t>
  </si>
  <si>
    <t>Tareas</t>
  </si>
  <si>
    <t>Registro Diario</t>
  </si>
  <si>
    <t>Proyecto</t>
  </si>
  <si>
    <t>Promedio</t>
  </si>
  <si>
    <t>Comentario de Apoyo Requerido</t>
  </si>
  <si>
    <t>Porcentaje</t>
  </si>
  <si>
    <t>Concepto a Calificar</t>
  </si>
  <si>
    <t>Tarea</t>
  </si>
  <si>
    <t>TOTAL</t>
  </si>
  <si>
    <t>Almanza Rocha Valeria Paola</t>
  </si>
  <si>
    <t>Camejo de la Torre Josue</t>
  </si>
  <si>
    <t>Chavez Escobedo Carlo</t>
  </si>
  <si>
    <t>Medina Hernandez Angela Karol</t>
  </si>
  <si>
    <t>Morales Alvarez Julia</t>
  </si>
  <si>
    <t>Rodriguez Robles Mateo</t>
  </si>
  <si>
    <t>Sanchez Pedraza Ian Alexander</t>
  </si>
  <si>
    <t>Serrano Ponce Camila Denisse</t>
  </si>
  <si>
    <t>Torres Avalos Oskar</t>
  </si>
  <si>
    <t>Venegas Delgadillo Jorge Alfonso</t>
  </si>
  <si>
    <t>Zarate Medellin Regina Noemi</t>
  </si>
  <si>
    <t>Barbosa Leon Damian Alejandro</t>
  </si>
  <si>
    <t>Barragan Canela Leonela Nicole</t>
  </si>
  <si>
    <t>Barrera Ortega Ximena Paola</t>
  </si>
  <si>
    <t>Bernal Serrano Jessica Liliana</t>
  </si>
  <si>
    <t>Castillo Lopez Carlos Gael</t>
  </si>
  <si>
    <t>Cárdenas Calá Antonella</t>
  </si>
  <si>
    <t>Cruz Gama Mateo Emiliano</t>
  </si>
  <si>
    <t>Cueva Rangel Oswaldo Eleazar</t>
  </si>
  <si>
    <t>Dávalos Sánchez Francisco Tadeo</t>
  </si>
  <si>
    <t>Díaz Elizalde Sofía</t>
  </si>
  <si>
    <t>Espinoza Gonzalez Leonardo Daniel</t>
  </si>
  <si>
    <t>Fuentes Fernandez Maximo Dario</t>
  </si>
  <si>
    <t>PPRIM242550</t>
  </si>
  <si>
    <t>Gonzalez Parra Amanda Rhomina</t>
  </si>
  <si>
    <t>Gonzalez Soto Adiel Emiliano</t>
  </si>
  <si>
    <t>González de la Cerda Isaías Daniel</t>
  </si>
  <si>
    <t>Hernández Félix Neizan Jesús</t>
  </si>
  <si>
    <t>Hernández López Santiago Matías</t>
  </si>
  <si>
    <t>Irineo Navarro Sofia Esmeralda</t>
  </si>
  <si>
    <t>Ivañez Duran Tadeo Salvador</t>
  </si>
  <si>
    <t>Jaime Cambero Ian Carlo</t>
  </si>
  <si>
    <t>Jimenez Moreno Fátima Johana Yazmin</t>
  </si>
  <si>
    <t>Lúa Alexander Yelena Itzayana</t>
  </si>
  <si>
    <t>Martínez Rodríguez Dayana</t>
  </si>
  <si>
    <t>Mendoza Gaspar Julian</t>
  </si>
  <si>
    <t>Paramo Castro Mateo</t>
  </si>
  <si>
    <t>Ponce Ramirez Alexandra Dannaé</t>
  </si>
  <si>
    <t>Solares Moreno Ximena Anahi</t>
  </si>
  <si>
    <t>Solorzano Alvarado Santiago Gabriel</t>
  </si>
  <si>
    <t>Soto Ayala Christian Gabriel</t>
  </si>
  <si>
    <t>Soto Lobo Andrea</t>
  </si>
  <si>
    <t>Vera Gomez Santiago Karim</t>
  </si>
  <si>
    <t>N7 SECUNDARIA 1°A</t>
  </si>
  <si>
    <t>Geografía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</si>
</sst>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5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1" xfId="0" applyNumberFormat="1" applyBorder="1"/>
    <xf numFmtId="164" fontId="1" fillId="2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64" fontId="1" fillId="4" borderId="1" xfId="0" applyNumberFormat="1" applyFon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F9521-3E5C-4485-A0EE-99CC705EEB69}">
  <dimension ref="B2:M37"/>
  <sheetViews>
    <sheetView workbookViewId="0">
      <selection activeCell="O17" sqref="O17"/>
    </sheetView>
  </sheetViews>
  <sheetFormatPr defaultRowHeight="15" x14ac:dyDescent="0.25"/>
  <cols>
    <col min="3" max="3" width="12.5703125" bestFit="1" customWidth="1"/>
    <col min="4" max="4" width="34.85546875" bestFit="1" customWidth="1"/>
    <col min="5" max="6" width="9.28515625" bestFit="1" customWidth="1"/>
    <col min="7" max="7" width="17.5703125" bestFit="1" customWidth="1"/>
    <col min="8" max="8" width="10" bestFit="1" customWidth="1"/>
    <col min="9" max="9" width="6.85546875" bestFit="1" customWidth="1"/>
    <col min="10" max="10" width="14.140625" bestFit="1" customWidth="1"/>
    <col min="11" max="11" width="8.5703125" bestFit="1" customWidth="1"/>
    <col min="12" max="12" width="9.5703125" bestFit="1" customWidth="1"/>
    <col min="13" max="13" width="29.85546875" bestFit="1" customWidth="1"/>
  </cols>
  <sheetData>
    <row r="2" spans="2:13" x14ac:dyDescent="0.25">
      <c r="B2" s="15" t="s">
        <v>59</v>
      </c>
      <c r="C2" s="15"/>
      <c r="D2" s="15"/>
      <c r="E2" s="15" t="s">
        <v>60</v>
      </c>
      <c r="F2" s="15"/>
      <c r="G2" s="15"/>
      <c r="H2" s="15"/>
      <c r="I2" s="15"/>
      <c r="J2" s="15"/>
      <c r="K2" s="15"/>
      <c r="L2" s="15"/>
      <c r="M2" s="15"/>
    </row>
    <row r="3" spans="2:13" x14ac:dyDescent="0.25">
      <c r="B3" s="6"/>
      <c r="C3" s="6"/>
      <c r="D3" s="7" t="s">
        <v>13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  <c r="J3" s="8" t="s">
        <v>8</v>
      </c>
      <c r="K3" s="8" t="s">
        <v>9</v>
      </c>
      <c r="L3" s="8" t="s">
        <v>10</v>
      </c>
      <c r="M3" s="8" t="s">
        <v>11</v>
      </c>
    </row>
    <row r="4" spans="2:13" x14ac:dyDescent="0.25">
      <c r="B4" s="1"/>
      <c r="C4" s="1"/>
      <c r="D4" s="1" t="s">
        <v>12</v>
      </c>
      <c r="E4" s="4">
        <v>0.09</v>
      </c>
      <c r="F4" s="4">
        <v>0.09</v>
      </c>
      <c r="G4" s="4">
        <v>0.25</v>
      </c>
      <c r="H4" s="4">
        <v>7.0000000000000007E-2</v>
      </c>
      <c r="I4" s="4">
        <v>0.2</v>
      </c>
      <c r="J4" s="4">
        <v>0.2</v>
      </c>
      <c r="K4" s="4">
        <v>0.1</v>
      </c>
      <c r="L4" s="6"/>
      <c r="M4" s="1"/>
    </row>
    <row r="5" spans="2:13" x14ac:dyDescent="0.25">
      <c r="B5" s="3" t="s">
        <v>0</v>
      </c>
      <c r="C5" s="3" t="s">
        <v>1</v>
      </c>
      <c r="D5" s="2" t="s">
        <v>2</v>
      </c>
      <c r="E5" s="1"/>
      <c r="F5" s="1"/>
      <c r="G5" s="1"/>
      <c r="H5" s="1"/>
      <c r="I5" s="1"/>
      <c r="J5" s="1"/>
      <c r="K5" s="1"/>
      <c r="L5" s="6"/>
      <c r="M5" s="1"/>
    </row>
    <row r="6" spans="2:13" x14ac:dyDescent="0.25">
      <c r="B6" s="5">
        <v>1</v>
      </c>
      <c r="C6" s="5">
        <v>1261</v>
      </c>
      <c r="D6" t="s">
        <v>27</v>
      </c>
      <c r="E6" s="9">
        <v>5</v>
      </c>
      <c r="F6" s="9">
        <v>9.3000000000000007</v>
      </c>
      <c r="G6" s="9">
        <v>0</v>
      </c>
      <c r="H6" s="9">
        <v>0</v>
      </c>
      <c r="I6" s="9">
        <f>Tareas!AB5</f>
        <v>0</v>
      </c>
      <c r="J6" s="9">
        <v>0</v>
      </c>
      <c r="K6" s="9">
        <v>0</v>
      </c>
      <c r="L6" s="11">
        <f xml:space="preserve"> E6*0.09 + F6*0.09 + G8*0.25 + H6*0.07 + I6*0.2 + J6*0.2 + K6*0.1</f>
        <v>1.2869999999999999</v>
      </c>
      <c r="M6" s="1"/>
    </row>
    <row r="7" spans="2:13" x14ac:dyDescent="0.25">
      <c r="B7" s="5">
        <v>2</v>
      </c>
      <c r="C7" s="5">
        <v>1249</v>
      </c>
      <c r="D7" s="1" t="s">
        <v>28</v>
      </c>
      <c r="E7" s="9">
        <v>5</v>
      </c>
      <c r="F7" s="9">
        <v>9.3000000000000007</v>
      </c>
      <c r="G7" s="9">
        <v>0</v>
      </c>
      <c r="H7" s="9">
        <v>0</v>
      </c>
      <c r="I7" s="9">
        <f>Tareas!AB6</f>
        <v>0</v>
      </c>
      <c r="J7" s="9">
        <v>0</v>
      </c>
      <c r="K7" s="9">
        <v>0</v>
      </c>
      <c r="L7" s="11">
        <f t="shared" ref="L7:L15" si="0" xml:space="preserve"> E7*0.09 + F7*0.09 + G7*0.25 + H7*0.07 + I7*0.2 + J7*0.2 + K7*0.1</f>
        <v>1.2869999999999999</v>
      </c>
      <c r="M7" s="1"/>
    </row>
    <row r="8" spans="2:13" x14ac:dyDescent="0.25">
      <c r="B8" s="5">
        <v>3</v>
      </c>
      <c r="C8" s="5">
        <v>1130</v>
      </c>
      <c r="D8" s="1" t="s">
        <v>29</v>
      </c>
      <c r="E8" s="9">
        <v>8</v>
      </c>
      <c r="F8" s="9">
        <v>9.3000000000000007</v>
      </c>
      <c r="G8" s="9">
        <v>0</v>
      </c>
      <c r="H8" s="9">
        <v>0</v>
      </c>
      <c r="I8" s="9">
        <f>Tareas!AB7</f>
        <v>0</v>
      </c>
      <c r="J8" s="9">
        <v>0</v>
      </c>
      <c r="K8" s="9">
        <v>0</v>
      </c>
      <c r="L8" s="11">
        <f t="shared" si="0"/>
        <v>1.5569999999999999</v>
      </c>
      <c r="M8" s="1"/>
    </row>
    <row r="9" spans="2:13" x14ac:dyDescent="0.25">
      <c r="B9" s="5">
        <v>4</v>
      </c>
      <c r="C9" s="5">
        <v>605</v>
      </c>
      <c r="D9" s="1" t="s">
        <v>30</v>
      </c>
      <c r="E9" s="9">
        <v>6</v>
      </c>
      <c r="F9" s="9">
        <v>10</v>
      </c>
      <c r="G9" s="9">
        <v>0</v>
      </c>
      <c r="H9" s="9">
        <v>0</v>
      </c>
      <c r="I9" s="9">
        <f>Tareas!AB8</f>
        <v>0</v>
      </c>
      <c r="J9" s="9">
        <v>0</v>
      </c>
      <c r="K9" s="9">
        <v>0</v>
      </c>
      <c r="L9" s="11">
        <f t="shared" si="0"/>
        <v>1.44</v>
      </c>
      <c r="M9" s="1"/>
    </row>
    <row r="10" spans="2:13" x14ac:dyDescent="0.25">
      <c r="B10" s="5">
        <v>5</v>
      </c>
      <c r="C10" s="5">
        <v>612</v>
      </c>
      <c r="D10" s="1" t="s">
        <v>31</v>
      </c>
      <c r="E10" s="9">
        <v>7</v>
      </c>
      <c r="F10" s="9">
        <v>8.6999999999999993</v>
      </c>
      <c r="G10" s="9">
        <v>0</v>
      </c>
      <c r="H10" s="9">
        <v>0</v>
      </c>
      <c r="I10" s="9">
        <f>Tareas!AB9</f>
        <v>0</v>
      </c>
      <c r="J10" s="9">
        <v>0</v>
      </c>
      <c r="K10" s="9">
        <v>0</v>
      </c>
      <c r="L10" s="11">
        <f t="shared" si="0"/>
        <v>1.4129999999999998</v>
      </c>
      <c r="M10" s="1"/>
    </row>
    <row r="11" spans="2:13" x14ac:dyDescent="0.25">
      <c r="B11" s="5">
        <v>6</v>
      </c>
      <c r="C11" s="5">
        <v>1159</v>
      </c>
      <c r="D11" s="1" t="s">
        <v>32</v>
      </c>
      <c r="E11" s="9">
        <v>10</v>
      </c>
      <c r="F11" s="9">
        <v>9.3000000000000007</v>
      </c>
      <c r="G11" s="9">
        <v>0</v>
      </c>
      <c r="H11" s="9">
        <v>0</v>
      </c>
      <c r="I11" s="9">
        <f>Tareas!AB10</f>
        <v>0</v>
      </c>
      <c r="J11" s="9">
        <v>0</v>
      </c>
      <c r="K11" s="9">
        <v>0</v>
      </c>
      <c r="L11" s="11">
        <f t="shared" si="0"/>
        <v>1.7370000000000001</v>
      </c>
      <c r="M11" s="1"/>
    </row>
    <row r="12" spans="2:13" x14ac:dyDescent="0.25">
      <c r="B12" s="5">
        <v>7</v>
      </c>
      <c r="C12" s="5">
        <v>1233</v>
      </c>
      <c r="D12" s="1" t="s">
        <v>33</v>
      </c>
      <c r="E12" s="9">
        <v>8</v>
      </c>
      <c r="F12" s="9">
        <v>8.6999999999999993</v>
      </c>
      <c r="G12" s="9">
        <v>0</v>
      </c>
      <c r="H12" s="9">
        <v>0</v>
      </c>
      <c r="I12" s="9">
        <f>Tareas!AB11</f>
        <v>0</v>
      </c>
      <c r="J12" s="9">
        <v>0</v>
      </c>
      <c r="K12" s="9">
        <v>0</v>
      </c>
      <c r="L12" s="11">
        <f t="shared" si="0"/>
        <v>1.5029999999999999</v>
      </c>
      <c r="M12" s="1"/>
    </row>
    <row r="13" spans="2:13" x14ac:dyDescent="0.25">
      <c r="B13" s="5">
        <v>8</v>
      </c>
      <c r="C13" s="5">
        <v>1168</v>
      </c>
      <c r="D13" s="1" t="s">
        <v>34</v>
      </c>
      <c r="E13" s="9">
        <v>3</v>
      </c>
      <c r="F13" s="9">
        <v>9.3000000000000007</v>
      </c>
      <c r="G13" s="9">
        <v>0</v>
      </c>
      <c r="H13" s="9">
        <v>0</v>
      </c>
      <c r="I13" s="9">
        <f>Tareas!AB12</f>
        <v>0</v>
      </c>
      <c r="J13" s="9">
        <v>0</v>
      </c>
      <c r="K13" s="9">
        <v>0</v>
      </c>
      <c r="L13" s="11">
        <f t="shared" si="0"/>
        <v>1.1070000000000002</v>
      </c>
      <c r="M13" s="1"/>
    </row>
    <row r="14" spans="2:13" x14ac:dyDescent="0.25">
      <c r="B14" s="5">
        <v>9</v>
      </c>
      <c r="C14" s="5">
        <v>1150</v>
      </c>
      <c r="D14" s="1" t="s">
        <v>35</v>
      </c>
      <c r="E14" s="9">
        <v>5</v>
      </c>
      <c r="F14" s="9">
        <v>8</v>
      </c>
      <c r="G14" s="9">
        <v>0</v>
      </c>
      <c r="H14" s="9">
        <v>0</v>
      </c>
      <c r="I14" s="9">
        <f>Tareas!AB13</f>
        <v>0</v>
      </c>
      <c r="J14" s="9">
        <v>0</v>
      </c>
      <c r="K14" s="9">
        <v>0</v>
      </c>
      <c r="L14" s="11">
        <f t="shared" si="0"/>
        <v>1.17</v>
      </c>
      <c r="M14" s="1"/>
    </row>
    <row r="15" spans="2:13" x14ac:dyDescent="0.25">
      <c r="B15" s="5">
        <v>10</v>
      </c>
      <c r="C15" s="5">
        <v>1184</v>
      </c>
      <c r="D15" s="1" t="s">
        <v>36</v>
      </c>
      <c r="E15" s="9">
        <v>9</v>
      </c>
      <c r="F15" s="9">
        <v>9.3000000000000007</v>
      </c>
      <c r="G15" s="9">
        <v>0</v>
      </c>
      <c r="H15" s="9">
        <v>0</v>
      </c>
      <c r="I15" s="9">
        <f>Tareas!AB14</f>
        <v>0</v>
      </c>
      <c r="J15" s="9">
        <v>0</v>
      </c>
      <c r="K15" s="9">
        <v>0</v>
      </c>
      <c r="L15" s="11">
        <f t="shared" si="0"/>
        <v>1.647</v>
      </c>
      <c r="M15" s="1"/>
    </row>
    <row r="16" spans="2:13" x14ac:dyDescent="0.25">
      <c r="B16" s="5">
        <v>11</v>
      </c>
      <c r="C16" s="5">
        <v>1270</v>
      </c>
      <c r="D16" s="1" t="s">
        <v>37</v>
      </c>
      <c r="E16" s="9">
        <v>5</v>
      </c>
      <c r="F16" s="9">
        <v>8</v>
      </c>
      <c r="G16" s="9">
        <v>0</v>
      </c>
      <c r="H16" s="9">
        <v>0</v>
      </c>
      <c r="I16" s="9">
        <f>Tareas!AB15</f>
        <v>0</v>
      </c>
      <c r="J16" s="9">
        <v>0</v>
      </c>
      <c r="K16" s="9">
        <v>0</v>
      </c>
      <c r="L16" s="11">
        <f t="shared" ref="L16" si="1" xml:space="preserve"> E16*0.09 + F16*0.09 + G16*0.25 + H16*0.07 + I16*0.2 + J16*0.2 + K16*0.1</f>
        <v>1.17</v>
      </c>
      <c r="M16" s="1"/>
    </row>
    <row r="17" spans="2:13" x14ac:dyDescent="0.25">
      <c r="B17" s="5">
        <v>12</v>
      </c>
      <c r="C17" s="5">
        <v>1199</v>
      </c>
      <c r="D17" s="1" t="s">
        <v>38</v>
      </c>
      <c r="E17" s="9">
        <v>8</v>
      </c>
      <c r="F17" s="9">
        <v>9.3000000000000007</v>
      </c>
      <c r="G17" s="9">
        <v>0</v>
      </c>
      <c r="H17" s="9">
        <v>0</v>
      </c>
      <c r="I17" s="9">
        <f>Tareas!AB16</f>
        <v>0</v>
      </c>
      <c r="J17" s="9">
        <v>0</v>
      </c>
      <c r="K17" s="9">
        <v>0</v>
      </c>
      <c r="L17" s="11">
        <f t="shared" ref="L17:L36" si="2" xml:space="preserve"> E17*0.09 + F17*0.09 + G17*0.25 + H17*0.07 + I17*0.2 + J17*0.2 + K17*0.1</f>
        <v>1.5569999999999999</v>
      </c>
      <c r="M17" s="1"/>
    </row>
    <row r="18" spans="2:13" x14ac:dyDescent="0.25">
      <c r="B18" s="5">
        <v>13</v>
      </c>
      <c r="C18" s="5" t="s">
        <v>39</v>
      </c>
      <c r="D18" s="1" t="s">
        <v>40</v>
      </c>
      <c r="E18" s="9">
        <v>7</v>
      </c>
      <c r="F18" s="9">
        <v>9.3000000000000007</v>
      </c>
      <c r="G18" s="9">
        <v>0</v>
      </c>
      <c r="H18" s="9">
        <v>0</v>
      </c>
      <c r="I18" s="9">
        <f>Tareas!AB17</f>
        <v>0</v>
      </c>
      <c r="J18" s="9">
        <v>0</v>
      </c>
      <c r="K18" s="9">
        <v>0</v>
      </c>
      <c r="L18" s="11">
        <f t="shared" si="2"/>
        <v>1.4670000000000001</v>
      </c>
      <c r="M18" s="1"/>
    </row>
    <row r="19" spans="2:13" x14ac:dyDescent="0.25">
      <c r="B19" s="5">
        <v>14</v>
      </c>
      <c r="C19" s="5">
        <v>1246</v>
      </c>
      <c r="D19" s="1" t="s">
        <v>41</v>
      </c>
      <c r="E19" s="9">
        <v>6</v>
      </c>
      <c r="F19" s="9">
        <v>8</v>
      </c>
      <c r="G19" s="9">
        <v>0</v>
      </c>
      <c r="H19" s="9">
        <v>0</v>
      </c>
      <c r="I19" s="9">
        <f>Tareas!AB18</f>
        <v>0</v>
      </c>
      <c r="J19" s="9">
        <v>0</v>
      </c>
      <c r="K19" s="9">
        <v>0</v>
      </c>
      <c r="L19" s="11">
        <f t="shared" si="2"/>
        <v>1.26</v>
      </c>
      <c r="M19" s="1"/>
    </row>
    <row r="20" spans="2:13" x14ac:dyDescent="0.25">
      <c r="B20" s="5">
        <v>15</v>
      </c>
      <c r="C20" s="5">
        <v>1156</v>
      </c>
      <c r="D20" s="1" t="s">
        <v>42</v>
      </c>
      <c r="E20" s="9">
        <v>6</v>
      </c>
      <c r="F20" s="9">
        <v>6</v>
      </c>
      <c r="G20" s="9">
        <v>0</v>
      </c>
      <c r="H20" s="9">
        <v>0</v>
      </c>
      <c r="I20" s="9">
        <f>Tareas!AB19</f>
        <v>0</v>
      </c>
      <c r="J20" s="9">
        <v>0</v>
      </c>
      <c r="K20" s="9">
        <v>0</v>
      </c>
      <c r="L20" s="11">
        <f t="shared" si="2"/>
        <v>1.08</v>
      </c>
      <c r="M20" s="1"/>
    </row>
    <row r="21" spans="2:13" x14ac:dyDescent="0.25">
      <c r="B21" s="5">
        <v>16</v>
      </c>
      <c r="C21" s="5">
        <v>1187</v>
      </c>
      <c r="D21" s="1" t="s">
        <v>43</v>
      </c>
      <c r="E21" s="9">
        <v>8</v>
      </c>
      <c r="F21" s="14">
        <v>0</v>
      </c>
      <c r="G21" s="9">
        <v>0</v>
      </c>
      <c r="H21" s="9">
        <v>0</v>
      </c>
      <c r="I21" s="9">
        <f>Tareas!AB20</f>
        <v>0</v>
      </c>
      <c r="J21" s="9">
        <v>0</v>
      </c>
      <c r="K21" s="9">
        <v>0</v>
      </c>
      <c r="L21" s="11">
        <f t="shared" si="2"/>
        <v>0.72</v>
      </c>
      <c r="M21" s="1"/>
    </row>
    <row r="22" spans="2:13" x14ac:dyDescent="0.25">
      <c r="B22" s="5">
        <v>17</v>
      </c>
      <c r="C22" s="5">
        <v>1202</v>
      </c>
      <c r="D22" s="1" t="s">
        <v>44</v>
      </c>
      <c r="E22" s="9">
        <v>9</v>
      </c>
      <c r="F22" s="9">
        <v>9.3000000000000007</v>
      </c>
      <c r="G22" s="9">
        <v>0</v>
      </c>
      <c r="H22" s="9">
        <v>0</v>
      </c>
      <c r="I22" s="9">
        <f>Tareas!AB21</f>
        <v>0</v>
      </c>
      <c r="J22" s="9">
        <v>0</v>
      </c>
      <c r="K22" s="9">
        <v>0</v>
      </c>
      <c r="L22" s="11">
        <f t="shared" si="2"/>
        <v>1.647</v>
      </c>
      <c r="M22" s="1"/>
    </row>
    <row r="23" spans="2:13" x14ac:dyDescent="0.25">
      <c r="B23" s="5">
        <v>18</v>
      </c>
      <c r="C23" s="5">
        <v>1147</v>
      </c>
      <c r="D23" s="1" t="s">
        <v>45</v>
      </c>
      <c r="E23" s="9">
        <v>9</v>
      </c>
      <c r="F23" s="9">
        <v>7.3</v>
      </c>
      <c r="G23" s="9">
        <v>0</v>
      </c>
      <c r="H23" s="9">
        <v>0</v>
      </c>
      <c r="I23" s="9">
        <f>Tareas!AB22</f>
        <v>0</v>
      </c>
      <c r="J23" s="9">
        <v>0</v>
      </c>
      <c r="K23" s="9">
        <v>0</v>
      </c>
      <c r="L23" s="11">
        <f t="shared" si="2"/>
        <v>1.4669999999999999</v>
      </c>
      <c r="M23" s="1"/>
    </row>
    <row r="24" spans="2:13" x14ac:dyDescent="0.25">
      <c r="B24" s="5">
        <v>19</v>
      </c>
      <c r="C24" s="5">
        <v>1193</v>
      </c>
      <c r="D24" s="1" t="s">
        <v>46</v>
      </c>
      <c r="E24" s="9">
        <v>8</v>
      </c>
      <c r="F24" s="9">
        <v>10</v>
      </c>
      <c r="G24" s="9">
        <v>0</v>
      </c>
      <c r="H24" s="9">
        <v>0</v>
      </c>
      <c r="I24" s="9">
        <f>Tareas!AB23</f>
        <v>0</v>
      </c>
      <c r="J24" s="9">
        <v>0</v>
      </c>
      <c r="K24" s="9">
        <v>0</v>
      </c>
      <c r="L24" s="11">
        <f t="shared" si="2"/>
        <v>1.6199999999999999</v>
      </c>
      <c r="M24" s="1"/>
    </row>
    <row r="25" spans="2:13" x14ac:dyDescent="0.25">
      <c r="B25" s="5">
        <v>20</v>
      </c>
      <c r="C25" s="5">
        <v>1209</v>
      </c>
      <c r="D25" s="1" t="s">
        <v>47</v>
      </c>
      <c r="E25" s="9">
        <v>7</v>
      </c>
      <c r="F25" s="9">
        <v>8.6999999999999993</v>
      </c>
      <c r="G25" s="9">
        <v>0</v>
      </c>
      <c r="H25" s="9">
        <v>0</v>
      </c>
      <c r="I25" s="9">
        <f>Tareas!AB24</f>
        <v>0</v>
      </c>
      <c r="J25" s="9">
        <v>0</v>
      </c>
      <c r="K25" s="9">
        <v>0</v>
      </c>
      <c r="L25" s="11">
        <f t="shared" si="2"/>
        <v>1.4129999999999998</v>
      </c>
      <c r="M25" s="1"/>
    </row>
    <row r="26" spans="2:13" x14ac:dyDescent="0.25">
      <c r="B26" s="5">
        <v>21</v>
      </c>
      <c r="C26" s="5">
        <v>1153</v>
      </c>
      <c r="D26" s="1" t="s">
        <v>48</v>
      </c>
      <c r="E26" s="9">
        <v>10</v>
      </c>
      <c r="F26" s="9">
        <v>9.3000000000000007</v>
      </c>
      <c r="G26" s="9">
        <v>0</v>
      </c>
      <c r="H26" s="9">
        <v>0</v>
      </c>
      <c r="I26" s="9">
        <f>Tareas!AB25</f>
        <v>0</v>
      </c>
      <c r="J26" s="9">
        <v>0</v>
      </c>
      <c r="K26" s="9">
        <v>0</v>
      </c>
      <c r="L26" s="11">
        <f t="shared" si="2"/>
        <v>1.7370000000000001</v>
      </c>
      <c r="M26" s="1"/>
    </row>
    <row r="27" spans="2:13" x14ac:dyDescent="0.25">
      <c r="B27" s="5">
        <v>22</v>
      </c>
      <c r="C27" s="5">
        <v>1068</v>
      </c>
      <c r="D27" s="1" t="s">
        <v>49</v>
      </c>
      <c r="E27" s="9">
        <v>6</v>
      </c>
      <c r="F27" s="14">
        <v>0</v>
      </c>
      <c r="G27" s="9">
        <v>0</v>
      </c>
      <c r="H27" s="9">
        <v>0</v>
      </c>
      <c r="I27" s="9">
        <f>Tareas!AB26</f>
        <v>0</v>
      </c>
      <c r="J27" s="9">
        <v>0</v>
      </c>
      <c r="K27" s="9">
        <v>0</v>
      </c>
      <c r="L27" s="11">
        <f t="shared" si="2"/>
        <v>0.54</v>
      </c>
      <c r="M27" s="1"/>
    </row>
    <row r="28" spans="2:13" x14ac:dyDescent="0.25">
      <c r="B28" s="5">
        <v>23</v>
      </c>
      <c r="C28" s="5">
        <v>1244</v>
      </c>
      <c r="D28" s="1" t="s">
        <v>50</v>
      </c>
      <c r="E28" s="9">
        <v>5</v>
      </c>
      <c r="F28" s="9">
        <v>7.3</v>
      </c>
      <c r="G28" s="9">
        <v>0</v>
      </c>
      <c r="H28" s="9">
        <v>0</v>
      </c>
      <c r="I28" s="9">
        <f>Tareas!AB27</f>
        <v>0</v>
      </c>
      <c r="J28" s="9">
        <v>0</v>
      </c>
      <c r="K28" s="9">
        <v>0</v>
      </c>
      <c r="L28" s="11">
        <f t="shared" si="2"/>
        <v>1.1069999999999998</v>
      </c>
      <c r="M28" s="1"/>
    </row>
    <row r="29" spans="2:13" x14ac:dyDescent="0.25">
      <c r="B29" s="5">
        <v>24</v>
      </c>
      <c r="C29" s="5">
        <v>719</v>
      </c>
      <c r="D29" s="1" t="s">
        <v>51</v>
      </c>
      <c r="E29" s="9">
        <v>3</v>
      </c>
      <c r="F29" s="9">
        <v>6.7</v>
      </c>
      <c r="G29" s="9">
        <v>0</v>
      </c>
      <c r="H29" s="9">
        <v>0</v>
      </c>
      <c r="I29" s="9">
        <f>Tareas!AB28</f>
        <v>0</v>
      </c>
      <c r="J29" s="9">
        <v>0</v>
      </c>
      <c r="K29" s="9">
        <v>0</v>
      </c>
      <c r="L29" s="11">
        <f t="shared" si="2"/>
        <v>0.873</v>
      </c>
      <c r="M29" s="1"/>
    </row>
    <row r="30" spans="2:13" x14ac:dyDescent="0.25">
      <c r="B30" s="5">
        <v>25</v>
      </c>
      <c r="C30" s="5">
        <v>1259</v>
      </c>
      <c r="D30" s="1" t="s">
        <v>52</v>
      </c>
      <c r="E30" s="9">
        <v>5</v>
      </c>
      <c r="F30" s="9">
        <v>8</v>
      </c>
      <c r="G30" s="9">
        <v>0</v>
      </c>
      <c r="H30" s="9">
        <v>0</v>
      </c>
      <c r="I30" s="9">
        <f>Tareas!AB29</f>
        <v>0</v>
      </c>
      <c r="J30" s="9">
        <v>0</v>
      </c>
      <c r="K30" s="9">
        <v>0</v>
      </c>
      <c r="L30" s="11">
        <f t="shared" si="2"/>
        <v>1.17</v>
      </c>
      <c r="M30" s="1"/>
    </row>
    <row r="31" spans="2:13" x14ac:dyDescent="0.25">
      <c r="B31" s="5">
        <v>26</v>
      </c>
      <c r="C31" s="5">
        <v>1267</v>
      </c>
      <c r="D31" s="1" t="s">
        <v>53</v>
      </c>
      <c r="E31" s="9">
        <v>8</v>
      </c>
      <c r="F31" s="9">
        <v>9.3000000000000007</v>
      </c>
      <c r="G31" s="9">
        <v>0</v>
      </c>
      <c r="H31" s="9">
        <v>0</v>
      </c>
      <c r="I31" s="9">
        <f>Tareas!AB30</f>
        <v>0</v>
      </c>
      <c r="J31" s="9">
        <v>0</v>
      </c>
      <c r="K31" s="9">
        <v>0</v>
      </c>
      <c r="L31" s="11">
        <f t="shared" si="2"/>
        <v>1.5569999999999999</v>
      </c>
      <c r="M31" s="1"/>
    </row>
    <row r="32" spans="2:13" x14ac:dyDescent="0.25">
      <c r="B32" s="5">
        <v>27</v>
      </c>
      <c r="C32" s="5">
        <v>1206</v>
      </c>
      <c r="D32" s="1" t="s">
        <v>54</v>
      </c>
      <c r="E32" s="9">
        <v>9</v>
      </c>
      <c r="F32" s="9">
        <v>9.3000000000000007</v>
      </c>
      <c r="G32" s="9">
        <v>0</v>
      </c>
      <c r="H32" s="9">
        <v>0</v>
      </c>
      <c r="I32" s="9">
        <f>Tareas!AB31</f>
        <v>0</v>
      </c>
      <c r="J32" s="9">
        <v>0</v>
      </c>
      <c r="K32" s="9">
        <v>0</v>
      </c>
      <c r="L32" s="11">
        <f t="shared" si="2"/>
        <v>1.647</v>
      </c>
      <c r="M32" s="1"/>
    </row>
    <row r="33" spans="2:13" x14ac:dyDescent="0.25">
      <c r="B33" s="5">
        <v>28</v>
      </c>
      <c r="C33" s="5">
        <v>1144</v>
      </c>
      <c r="D33" s="1" t="s">
        <v>55</v>
      </c>
      <c r="E33" s="9">
        <v>5</v>
      </c>
      <c r="F33" s="9">
        <v>8</v>
      </c>
      <c r="G33" s="9">
        <v>0</v>
      </c>
      <c r="H33" s="9">
        <v>0</v>
      </c>
      <c r="I33" s="9">
        <f>Tareas!AB32</f>
        <v>0</v>
      </c>
      <c r="J33" s="9">
        <v>0</v>
      </c>
      <c r="K33" s="9">
        <v>0</v>
      </c>
      <c r="L33" s="11">
        <f t="shared" si="2"/>
        <v>1.17</v>
      </c>
      <c r="M33" s="1"/>
    </row>
    <row r="34" spans="2:13" x14ac:dyDescent="0.25">
      <c r="B34" s="5">
        <v>29</v>
      </c>
      <c r="C34" s="5">
        <v>1137</v>
      </c>
      <c r="D34" s="1" t="s">
        <v>56</v>
      </c>
      <c r="E34" s="14">
        <v>0</v>
      </c>
      <c r="F34" s="14">
        <v>0</v>
      </c>
      <c r="G34" s="9">
        <v>0</v>
      </c>
      <c r="H34" s="9">
        <v>0</v>
      </c>
      <c r="I34" s="9">
        <f>Tareas!AB33</f>
        <v>0</v>
      </c>
      <c r="J34" s="9">
        <v>0</v>
      </c>
      <c r="K34" s="9">
        <v>0</v>
      </c>
      <c r="L34" s="11">
        <f t="shared" si="2"/>
        <v>0</v>
      </c>
      <c r="M34" s="1"/>
    </row>
    <row r="35" spans="2:13" x14ac:dyDescent="0.25">
      <c r="B35" s="5">
        <v>30</v>
      </c>
      <c r="C35" s="5">
        <v>1216</v>
      </c>
      <c r="D35" s="1" t="s">
        <v>57</v>
      </c>
      <c r="E35" s="9">
        <v>10</v>
      </c>
      <c r="F35" s="9">
        <v>10</v>
      </c>
      <c r="G35" s="9">
        <v>0</v>
      </c>
      <c r="H35" s="9">
        <v>0</v>
      </c>
      <c r="I35" s="9">
        <f>Tareas!AB34</f>
        <v>0</v>
      </c>
      <c r="J35" s="9">
        <v>0</v>
      </c>
      <c r="K35" s="9">
        <v>0</v>
      </c>
      <c r="L35" s="11">
        <f t="shared" si="2"/>
        <v>1.7999999999999998</v>
      </c>
      <c r="M35" s="1"/>
    </row>
    <row r="36" spans="2:13" x14ac:dyDescent="0.25">
      <c r="B36" s="5">
        <v>31</v>
      </c>
      <c r="C36" s="5">
        <v>1254</v>
      </c>
      <c r="D36" s="1" t="s">
        <v>58</v>
      </c>
      <c r="E36" s="9">
        <v>6</v>
      </c>
      <c r="F36" s="9">
        <v>8.6999999999999993</v>
      </c>
      <c r="G36" s="9">
        <v>0</v>
      </c>
      <c r="H36" s="9">
        <v>0</v>
      </c>
      <c r="I36" s="9">
        <f>Tareas!AB35</f>
        <v>0</v>
      </c>
      <c r="J36" s="9">
        <v>0</v>
      </c>
      <c r="K36" s="9">
        <v>0</v>
      </c>
      <c r="L36" s="11">
        <f t="shared" si="2"/>
        <v>1.323</v>
      </c>
      <c r="M36" s="1"/>
    </row>
    <row r="37" spans="2:13" x14ac:dyDescent="0.25">
      <c r="B37" s="16" t="s">
        <v>15</v>
      </c>
      <c r="C37" s="17"/>
      <c r="D37" s="18"/>
      <c r="E37" s="13">
        <f>AVERAGE(E6:E36)</f>
        <v>6.645161290322581</v>
      </c>
      <c r="F37" s="13">
        <f>AVERAGE(F6:F36)</f>
        <v>7.861290322580647</v>
      </c>
      <c r="G37" s="13">
        <f t="shared" ref="G37:L37" si="3">AVERAGE(G6:G36)</f>
        <v>0</v>
      </c>
      <c r="H37" s="13">
        <f t="shared" si="3"/>
        <v>0</v>
      </c>
      <c r="I37" s="13">
        <f t="shared" si="3"/>
        <v>0</v>
      </c>
      <c r="J37" s="13">
        <f t="shared" si="3"/>
        <v>0</v>
      </c>
      <c r="K37" s="13">
        <f t="shared" si="3"/>
        <v>0</v>
      </c>
      <c r="L37" s="13">
        <f t="shared" si="3"/>
        <v>1.3055806451612904</v>
      </c>
      <c r="M37" s="12"/>
    </row>
  </sheetData>
  <mergeCells count="3">
    <mergeCell ref="B2:D2"/>
    <mergeCell ref="E2:M2"/>
    <mergeCell ref="B37:D3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C8BC0-6E16-496A-96B3-BD682E639AA1}">
  <dimension ref="B2:AB35"/>
  <sheetViews>
    <sheetView tabSelected="1" topLeftCell="A4" zoomScale="70" zoomScaleNormal="70" workbookViewId="0">
      <selection activeCell="AH6" sqref="AH6"/>
    </sheetView>
  </sheetViews>
  <sheetFormatPr defaultRowHeight="15" x14ac:dyDescent="0.25"/>
  <cols>
    <col min="3" max="3" width="12.5703125" bestFit="1" customWidth="1"/>
    <col min="4" max="4" width="34.85546875" bestFit="1" customWidth="1"/>
    <col min="5" max="6" width="4.28515625" customWidth="1"/>
    <col min="7" max="7" width="4.7109375" bestFit="1" customWidth="1"/>
    <col min="8" max="9" width="4.28515625" customWidth="1"/>
    <col min="10" max="10" width="4.7109375" bestFit="1" customWidth="1"/>
    <col min="11" max="24" width="4.28515625" customWidth="1"/>
    <col min="25" max="25" width="4.7109375" bestFit="1" customWidth="1"/>
    <col min="26" max="27" width="4.28515625" customWidth="1"/>
    <col min="28" max="28" width="9.5703125" bestFit="1" customWidth="1"/>
  </cols>
  <sheetData>
    <row r="2" spans="2:28" x14ac:dyDescent="0.25">
      <c r="B2" s="15" t="s">
        <v>59</v>
      </c>
      <c r="C2" s="15"/>
      <c r="D2" s="15"/>
      <c r="E2" s="15" t="s">
        <v>60</v>
      </c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</row>
    <row r="3" spans="2:28" x14ac:dyDescent="0.25">
      <c r="B3" s="6"/>
      <c r="C3" s="6"/>
      <c r="D3" s="7" t="s">
        <v>14</v>
      </c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 t="s">
        <v>10</v>
      </c>
    </row>
    <row r="4" spans="2:28" x14ac:dyDescent="0.25">
      <c r="B4" s="3" t="s">
        <v>0</v>
      </c>
      <c r="C4" s="3" t="s">
        <v>1</v>
      </c>
      <c r="D4" s="2" t="s">
        <v>2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6"/>
    </row>
    <row r="5" spans="2:28" x14ac:dyDescent="0.25">
      <c r="B5" s="5">
        <v>1</v>
      </c>
      <c r="C5" s="5">
        <v>1044</v>
      </c>
      <c r="D5" s="1" t="s">
        <v>16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0</v>
      </c>
      <c r="P5" s="10">
        <v>0</v>
      </c>
      <c r="Q5" s="10">
        <v>0</v>
      </c>
      <c r="R5" s="10">
        <v>0</v>
      </c>
      <c r="S5" s="10">
        <v>0</v>
      </c>
      <c r="T5" s="10">
        <v>0</v>
      </c>
      <c r="U5" s="10">
        <v>0</v>
      </c>
      <c r="V5" s="10">
        <v>0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1">
        <f>AVERAGE(E5:Z5)</f>
        <v>0</v>
      </c>
    </row>
    <row r="6" spans="2:28" x14ac:dyDescent="0.25">
      <c r="B6" s="5">
        <v>2</v>
      </c>
      <c r="C6" s="5">
        <v>879</v>
      </c>
      <c r="D6" s="1" t="s">
        <v>17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11">
        <f>AVERAGE(E6:Z6)</f>
        <v>0</v>
      </c>
    </row>
    <row r="7" spans="2:28" x14ac:dyDescent="0.25">
      <c r="B7" s="5">
        <v>3</v>
      </c>
      <c r="C7" s="5">
        <v>1052</v>
      </c>
      <c r="D7" s="1" t="s">
        <v>18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>
        <v>0</v>
      </c>
      <c r="W7" s="10">
        <v>0</v>
      </c>
      <c r="X7" s="10">
        <v>0</v>
      </c>
      <c r="Y7" s="10">
        <v>0</v>
      </c>
      <c r="Z7" s="10">
        <v>0</v>
      </c>
      <c r="AA7" s="10">
        <v>0</v>
      </c>
      <c r="AB7" s="11">
        <f>AVERAGE(E7:Z7)</f>
        <v>0</v>
      </c>
    </row>
    <row r="8" spans="2:28" x14ac:dyDescent="0.25">
      <c r="B8" s="5">
        <v>4</v>
      </c>
      <c r="C8" s="5">
        <v>1114</v>
      </c>
      <c r="D8" s="1" t="s">
        <v>19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1">
        <f>AVERAGE(E8:Z8)</f>
        <v>0</v>
      </c>
    </row>
    <row r="9" spans="2:28" x14ac:dyDescent="0.25">
      <c r="B9" s="5">
        <v>5</v>
      </c>
      <c r="C9" s="5">
        <v>900</v>
      </c>
      <c r="D9" s="1" t="s">
        <v>20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0</v>
      </c>
      <c r="S9" s="10">
        <v>0</v>
      </c>
      <c r="T9" s="10">
        <v>0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1">
        <f>AVERAGE(E9:Z9)</f>
        <v>0</v>
      </c>
    </row>
    <row r="10" spans="2:28" x14ac:dyDescent="0.25">
      <c r="B10" s="5">
        <v>6</v>
      </c>
      <c r="C10" s="5">
        <v>1058</v>
      </c>
      <c r="D10" s="1" t="s">
        <v>21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0">
        <v>0</v>
      </c>
      <c r="W10" s="10">
        <v>0</v>
      </c>
      <c r="X10" s="10">
        <v>0</v>
      </c>
      <c r="Y10" s="10">
        <v>0</v>
      </c>
      <c r="Z10" s="10">
        <v>0</v>
      </c>
      <c r="AA10" s="10">
        <v>0</v>
      </c>
      <c r="AB10" s="11">
        <f>AVERAGE(E10:Z10)</f>
        <v>0</v>
      </c>
    </row>
    <row r="11" spans="2:28" x14ac:dyDescent="0.25">
      <c r="B11" s="5">
        <v>7</v>
      </c>
      <c r="C11" s="5">
        <v>1018</v>
      </c>
      <c r="D11" s="1" t="s">
        <v>22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0</v>
      </c>
      <c r="V11" s="10">
        <v>0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11">
        <f>AVERAGE(E11:Z11)</f>
        <v>0</v>
      </c>
    </row>
    <row r="12" spans="2:28" x14ac:dyDescent="0.25">
      <c r="B12" s="5">
        <v>8</v>
      </c>
      <c r="C12" s="5">
        <v>714</v>
      </c>
      <c r="D12" s="1" t="s">
        <v>23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10">
        <v>0</v>
      </c>
      <c r="M12" s="10">
        <v>0</v>
      </c>
      <c r="N12" s="10">
        <v>0</v>
      </c>
      <c r="O12" s="10">
        <v>0</v>
      </c>
      <c r="P12" s="10">
        <v>0</v>
      </c>
      <c r="Q12" s="10">
        <v>0</v>
      </c>
      <c r="R12" s="10">
        <v>0</v>
      </c>
      <c r="S12" s="10">
        <v>0</v>
      </c>
      <c r="T12" s="10">
        <v>0</v>
      </c>
      <c r="U12" s="10">
        <v>0</v>
      </c>
      <c r="V12" s="10">
        <v>0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1">
        <f>AVERAGE(E12:Z12)</f>
        <v>0</v>
      </c>
    </row>
    <row r="13" spans="2:28" x14ac:dyDescent="0.25">
      <c r="B13" s="5">
        <v>9</v>
      </c>
      <c r="C13" s="5">
        <v>1010</v>
      </c>
      <c r="D13" s="1" t="s">
        <v>24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  <c r="N13" s="10">
        <v>0</v>
      </c>
      <c r="O13" s="10">
        <v>0</v>
      </c>
      <c r="P13" s="10">
        <v>0</v>
      </c>
      <c r="Q13" s="10">
        <v>0</v>
      </c>
      <c r="R13" s="10">
        <v>0</v>
      </c>
      <c r="S13" s="10">
        <v>0</v>
      </c>
      <c r="T13" s="10">
        <v>0</v>
      </c>
      <c r="U13" s="10">
        <v>0</v>
      </c>
      <c r="V13" s="10">
        <v>0</v>
      </c>
      <c r="W13" s="10">
        <v>0</v>
      </c>
      <c r="X13" s="10">
        <v>0</v>
      </c>
      <c r="Y13" s="10">
        <v>0</v>
      </c>
      <c r="Z13" s="10">
        <v>0</v>
      </c>
      <c r="AA13" s="10">
        <v>0</v>
      </c>
      <c r="AB13" s="11">
        <f>AVERAGE(E13:Z13)</f>
        <v>0</v>
      </c>
    </row>
    <row r="14" spans="2:28" x14ac:dyDescent="0.25">
      <c r="B14" s="5">
        <v>10</v>
      </c>
      <c r="C14" s="5">
        <v>1211</v>
      </c>
      <c r="D14" s="1" t="s">
        <v>25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  <c r="L14" s="10">
        <v>0</v>
      </c>
      <c r="M14" s="10">
        <v>0</v>
      </c>
      <c r="N14" s="10">
        <v>0</v>
      </c>
      <c r="O14" s="10">
        <v>0</v>
      </c>
      <c r="P14" s="10">
        <v>0</v>
      </c>
      <c r="Q14" s="10">
        <v>0</v>
      </c>
      <c r="R14" s="10">
        <v>0</v>
      </c>
      <c r="S14" s="10">
        <v>0</v>
      </c>
      <c r="T14" s="10">
        <v>0</v>
      </c>
      <c r="U14" s="10">
        <v>0</v>
      </c>
      <c r="V14" s="10">
        <v>0</v>
      </c>
      <c r="W14" s="10">
        <v>0</v>
      </c>
      <c r="X14" s="10">
        <v>0</v>
      </c>
      <c r="Y14" s="10">
        <v>0</v>
      </c>
      <c r="Z14" s="10">
        <v>0</v>
      </c>
      <c r="AA14" s="10">
        <v>0</v>
      </c>
      <c r="AB14" s="11">
        <f>AVERAGE(E14:Z14)</f>
        <v>0</v>
      </c>
    </row>
    <row r="15" spans="2:28" x14ac:dyDescent="0.25">
      <c r="B15" s="5">
        <v>11</v>
      </c>
      <c r="C15" s="5">
        <v>880</v>
      </c>
      <c r="D15" s="1" t="s">
        <v>26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  <c r="R15" s="10">
        <v>0</v>
      </c>
      <c r="S15" s="10">
        <v>0</v>
      </c>
      <c r="T15" s="10">
        <v>0</v>
      </c>
      <c r="U15" s="10">
        <v>0</v>
      </c>
      <c r="V15" s="10">
        <v>0</v>
      </c>
      <c r="W15" s="10">
        <v>0</v>
      </c>
      <c r="X15" s="10">
        <v>0</v>
      </c>
      <c r="Y15" s="10">
        <v>0</v>
      </c>
      <c r="Z15" s="10">
        <v>0</v>
      </c>
      <c r="AA15" s="10">
        <v>0</v>
      </c>
      <c r="AB15" s="11">
        <f>AVERAGE(E15:Z15)</f>
        <v>0</v>
      </c>
    </row>
    <row r="16" spans="2:28" x14ac:dyDescent="0.25">
      <c r="B16" s="5">
        <v>12</v>
      </c>
      <c r="C16" s="5">
        <v>1199</v>
      </c>
      <c r="D16" s="1" t="s">
        <v>38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  <c r="N16" s="10">
        <v>0</v>
      </c>
      <c r="O16" s="10">
        <v>0</v>
      </c>
      <c r="P16" s="10">
        <v>0</v>
      </c>
      <c r="Q16" s="10">
        <v>0</v>
      </c>
      <c r="R16" s="10">
        <v>0</v>
      </c>
      <c r="S16" s="10">
        <v>0</v>
      </c>
      <c r="T16" s="10">
        <v>0</v>
      </c>
      <c r="U16" s="10">
        <v>0</v>
      </c>
      <c r="V16" s="10">
        <v>0</v>
      </c>
      <c r="W16" s="10">
        <v>0</v>
      </c>
      <c r="X16" s="10">
        <v>0</v>
      </c>
      <c r="Y16" s="10">
        <v>0</v>
      </c>
      <c r="Z16" s="10">
        <v>0</v>
      </c>
      <c r="AA16" s="10">
        <v>0</v>
      </c>
      <c r="AB16" s="11">
        <f>AVERAGE(E16:Z16)</f>
        <v>0</v>
      </c>
    </row>
    <row r="17" spans="2:28" x14ac:dyDescent="0.25">
      <c r="B17" s="5">
        <v>13</v>
      </c>
      <c r="C17" s="5" t="s">
        <v>39</v>
      </c>
      <c r="D17" s="1" t="s">
        <v>40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0</v>
      </c>
      <c r="P17" s="10">
        <v>0</v>
      </c>
      <c r="Q17" s="10">
        <v>0</v>
      </c>
      <c r="R17" s="10">
        <v>0</v>
      </c>
      <c r="S17" s="10">
        <v>0</v>
      </c>
      <c r="T17" s="10">
        <v>0</v>
      </c>
      <c r="U17" s="10">
        <v>0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1">
        <f>AVERAGE(E17:Z17)</f>
        <v>0</v>
      </c>
    </row>
    <row r="18" spans="2:28" x14ac:dyDescent="0.25">
      <c r="B18" s="5">
        <v>14</v>
      </c>
      <c r="C18" s="5">
        <v>1246</v>
      </c>
      <c r="D18" s="1" t="s">
        <v>41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  <c r="N18" s="10">
        <v>0</v>
      </c>
      <c r="O18" s="10">
        <v>0</v>
      </c>
      <c r="P18" s="10">
        <v>0</v>
      </c>
      <c r="Q18" s="10">
        <v>0</v>
      </c>
      <c r="R18" s="10">
        <v>0</v>
      </c>
      <c r="S18" s="10">
        <v>0</v>
      </c>
      <c r="T18" s="10">
        <v>0</v>
      </c>
      <c r="U18" s="10">
        <v>0</v>
      </c>
      <c r="V18" s="10">
        <v>0</v>
      </c>
      <c r="W18" s="10">
        <v>0</v>
      </c>
      <c r="X18" s="10">
        <v>0</v>
      </c>
      <c r="Y18" s="10">
        <v>0</v>
      </c>
      <c r="Z18" s="10">
        <v>0</v>
      </c>
      <c r="AA18" s="10">
        <v>0</v>
      </c>
      <c r="AB18" s="11">
        <f>AVERAGE(E18:Z18)</f>
        <v>0</v>
      </c>
    </row>
    <row r="19" spans="2:28" x14ac:dyDescent="0.25">
      <c r="B19" s="5">
        <v>15</v>
      </c>
      <c r="C19" s="5">
        <v>1156</v>
      </c>
      <c r="D19" s="1" t="s">
        <v>42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  <c r="N19" s="10">
        <v>0</v>
      </c>
      <c r="O19" s="10">
        <v>0</v>
      </c>
      <c r="P19" s="10">
        <v>0</v>
      </c>
      <c r="Q19" s="10">
        <v>0</v>
      </c>
      <c r="R19" s="10">
        <v>0</v>
      </c>
      <c r="S19" s="10">
        <v>0</v>
      </c>
      <c r="T19" s="10">
        <v>0</v>
      </c>
      <c r="U19" s="10">
        <v>0</v>
      </c>
      <c r="V19" s="10">
        <v>0</v>
      </c>
      <c r="W19" s="10">
        <v>0</v>
      </c>
      <c r="X19" s="10">
        <v>0</v>
      </c>
      <c r="Y19" s="10">
        <v>0</v>
      </c>
      <c r="Z19" s="10">
        <v>0</v>
      </c>
      <c r="AA19" s="10">
        <v>0</v>
      </c>
      <c r="AB19" s="11">
        <f>AVERAGE(E19:Z19)</f>
        <v>0</v>
      </c>
    </row>
    <row r="20" spans="2:28" x14ac:dyDescent="0.25">
      <c r="B20" s="5">
        <v>16</v>
      </c>
      <c r="C20" s="5">
        <v>1187</v>
      </c>
      <c r="D20" s="1" t="s">
        <v>43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  <c r="L20" s="10">
        <v>0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1">
        <f>AVERAGE(E20:Z20)</f>
        <v>0</v>
      </c>
    </row>
    <row r="21" spans="2:28" x14ac:dyDescent="0.25">
      <c r="B21" s="5">
        <v>17</v>
      </c>
      <c r="C21" s="5">
        <v>1202</v>
      </c>
      <c r="D21" s="1" t="s">
        <v>44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  <c r="N21" s="10">
        <v>0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0</v>
      </c>
      <c r="V21" s="10">
        <v>0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1">
        <f>AVERAGE(E21:Z21)</f>
        <v>0</v>
      </c>
    </row>
    <row r="22" spans="2:28" x14ac:dyDescent="0.25">
      <c r="B22" s="5">
        <v>18</v>
      </c>
      <c r="C22" s="5">
        <v>1147</v>
      </c>
      <c r="D22" s="1" t="s">
        <v>45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  <c r="L22" s="10">
        <v>0</v>
      </c>
      <c r="M22" s="10">
        <v>0</v>
      </c>
      <c r="N22" s="10">
        <v>0</v>
      </c>
      <c r="O22" s="10">
        <v>0</v>
      </c>
      <c r="P22" s="10">
        <v>0</v>
      </c>
      <c r="Q22" s="10">
        <v>0</v>
      </c>
      <c r="R22" s="10">
        <v>0</v>
      </c>
      <c r="S22" s="10">
        <v>0</v>
      </c>
      <c r="T22" s="10">
        <v>0</v>
      </c>
      <c r="U22" s="10">
        <v>0</v>
      </c>
      <c r="V22" s="10">
        <v>0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1">
        <f>AVERAGE(E22:Z22)</f>
        <v>0</v>
      </c>
    </row>
    <row r="23" spans="2:28" x14ac:dyDescent="0.25">
      <c r="B23" s="5">
        <v>19</v>
      </c>
      <c r="C23" s="5">
        <v>1193</v>
      </c>
      <c r="D23" s="1" t="s">
        <v>46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0</v>
      </c>
      <c r="K23" s="10">
        <v>0</v>
      </c>
      <c r="L23" s="10">
        <v>0</v>
      </c>
      <c r="M23" s="10">
        <v>0</v>
      </c>
      <c r="N23" s="10">
        <v>0</v>
      </c>
      <c r="O23" s="10">
        <v>0</v>
      </c>
      <c r="P23" s="10">
        <v>0</v>
      </c>
      <c r="Q23" s="10">
        <v>0</v>
      </c>
      <c r="R23" s="10">
        <v>0</v>
      </c>
      <c r="S23" s="10">
        <v>0</v>
      </c>
      <c r="T23" s="10">
        <v>0</v>
      </c>
      <c r="U23" s="10">
        <v>0</v>
      </c>
      <c r="V23" s="10">
        <v>0</v>
      </c>
      <c r="W23" s="10">
        <v>0</v>
      </c>
      <c r="X23" s="10">
        <v>0</v>
      </c>
      <c r="Y23" s="10">
        <v>0</v>
      </c>
      <c r="Z23" s="10">
        <v>0</v>
      </c>
      <c r="AA23" s="10">
        <v>0</v>
      </c>
      <c r="AB23" s="11">
        <f>AVERAGE(E23:Z23)</f>
        <v>0</v>
      </c>
    </row>
    <row r="24" spans="2:28" x14ac:dyDescent="0.25">
      <c r="B24" s="5">
        <v>20</v>
      </c>
      <c r="C24" s="5">
        <v>1209</v>
      </c>
      <c r="D24" s="1" t="s">
        <v>47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1">
        <f>AVERAGE(E24:Z24)</f>
        <v>0</v>
      </c>
    </row>
    <row r="25" spans="2:28" x14ac:dyDescent="0.25">
      <c r="B25" s="5">
        <v>21</v>
      </c>
      <c r="C25" s="5">
        <v>1153</v>
      </c>
      <c r="D25" s="1" t="s">
        <v>48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  <c r="V25" s="10">
        <v>0</v>
      </c>
      <c r="W25" s="10">
        <v>0</v>
      </c>
      <c r="X25" s="10">
        <v>0</v>
      </c>
      <c r="Y25" s="10">
        <v>0</v>
      </c>
      <c r="Z25" s="10">
        <v>0</v>
      </c>
      <c r="AA25" s="10">
        <v>0</v>
      </c>
      <c r="AB25" s="11">
        <f>AVERAGE(E25:Z25)</f>
        <v>0</v>
      </c>
    </row>
    <row r="26" spans="2:28" x14ac:dyDescent="0.25">
      <c r="B26" s="5">
        <v>22</v>
      </c>
      <c r="C26" s="5">
        <v>1068</v>
      </c>
      <c r="D26" s="1" t="s">
        <v>49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0</v>
      </c>
      <c r="K26" s="10">
        <v>0</v>
      </c>
      <c r="L26" s="10">
        <v>0</v>
      </c>
      <c r="M26" s="10">
        <v>0</v>
      </c>
      <c r="N26" s="10">
        <v>0</v>
      </c>
      <c r="O26" s="10">
        <v>0</v>
      </c>
      <c r="P26" s="10">
        <v>0</v>
      </c>
      <c r="Q26" s="10">
        <v>0</v>
      </c>
      <c r="R26" s="10">
        <v>0</v>
      </c>
      <c r="S26" s="10">
        <v>0</v>
      </c>
      <c r="T26" s="10">
        <v>0</v>
      </c>
      <c r="U26" s="10">
        <v>0</v>
      </c>
      <c r="V26" s="10">
        <v>0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1">
        <f>AVERAGE(E26:Z26)</f>
        <v>0</v>
      </c>
    </row>
    <row r="27" spans="2:28" x14ac:dyDescent="0.25">
      <c r="B27" s="5">
        <v>23</v>
      </c>
      <c r="C27" s="5">
        <v>1244</v>
      </c>
      <c r="D27" s="1" t="s">
        <v>50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0</v>
      </c>
      <c r="S27" s="10">
        <v>0</v>
      </c>
      <c r="T27" s="10">
        <v>0</v>
      </c>
      <c r="U27" s="10">
        <v>0</v>
      </c>
      <c r="V27" s="10">
        <v>0</v>
      </c>
      <c r="W27" s="10">
        <v>0</v>
      </c>
      <c r="X27" s="10">
        <v>0</v>
      </c>
      <c r="Y27" s="10">
        <v>0</v>
      </c>
      <c r="Z27" s="10">
        <v>0</v>
      </c>
      <c r="AA27" s="10">
        <v>0</v>
      </c>
      <c r="AB27" s="11">
        <f>AVERAGE(E27:Z27)</f>
        <v>0</v>
      </c>
    </row>
    <row r="28" spans="2:28" x14ac:dyDescent="0.25">
      <c r="B28" s="5">
        <v>24</v>
      </c>
      <c r="C28" s="5">
        <v>719</v>
      </c>
      <c r="D28" s="1" t="s">
        <v>51</v>
      </c>
      <c r="E28" s="10">
        <v>0</v>
      </c>
      <c r="F28" s="10">
        <v>0</v>
      </c>
      <c r="G28" s="10">
        <v>0</v>
      </c>
      <c r="H28" s="10">
        <v>0</v>
      </c>
      <c r="I28" s="10">
        <v>0</v>
      </c>
      <c r="J28" s="10">
        <v>0</v>
      </c>
      <c r="K28" s="10">
        <v>0</v>
      </c>
      <c r="L28" s="10">
        <v>0</v>
      </c>
      <c r="M28" s="10">
        <v>0</v>
      </c>
      <c r="N28" s="10">
        <v>0</v>
      </c>
      <c r="O28" s="10">
        <v>0</v>
      </c>
      <c r="P28" s="10">
        <v>0</v>
      </c>
      <c r="Q28" s="10">
        <v>0</v>
      </c>
      <c r="R28" s="10">
        <v>0</v>
      </c>
      <c r="S28" s="10">
        <v>0</v>
      </c>
      <c r="T28" s="10">
        <v>0</v>
      </c>
      <c r="U28" s="10">
        <v>0</v>
      </c>
      <c r="V28" s="10">
        <v>0</v>
      </c>
      <c r="W28" s="10">
        <v>0</v>
      </c>
      <c r="X28" s="10">
        <v>0</v>
      </c>
      <c r="Y28" s="10">
        <v>0</v>
      </c>
      <c r="Z28" s="10">
        <v>0</v>
      </c>
      <c r="AA28" s="10">
        <v>0</v>
      </c>
      <c r="AB28" s="11">
        <f>AVERAGE(E28:Z28)</f>
        <v>0</v>
      </c>
    </row>
    <row r="29" spans="2:28" x14ac:dyDescent="0.25">
      <c r="B29" s="5">
        <v>25</v>
      </c>
      <c r="C29" s="5">
        <v>1259</v>
      </c>
      <c r="D29" s="1" t="s">
        <v>52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0</v>
      </c>
      <c r="T29" s="10">
        <v>0</v>
      </c>
      <c r="U29" s="10">
        <v>0</v>
      </c>
      <c r="V29" s="10">
        <v>0</v>
      </c>
      <c r="W29" s="10">
        <v>0</v>
      </c>
      <c r="X29" s="10">
        <v>0</v>
      </c>
      <c r="Y29" s="10">
        <v>0</v>
      </c>
      <c r="Z29" s="10">
        <v>0</v>
      </c>
      <c r="AA29" s="10">
        <v>0</v>
      </c>
      <c r="AB29" s="11">
        <f>AVERAGE(E29:Z29)</f>
        <v>0</v>
      </c>
    </row>
    <row r="30" spans="2:28" x14ac:dyDescent="0.25">
      <c r="B30" s="5">
        <v>26</v>
      </c>
      <c r="C30" s="5">
        <v>1267</v>
      </c>
      <c r="D30" s="1" t="s">
        <v>53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  <c r="U30" s="10">
        <v>0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1">
        <f>AVERAGE(E30:Z30)</f>
        <v>0</v>
      </c>
    </row>
    <row r="31" spans="2:28" x14ac:dyDescent="0.25">
      <c r="B31" s="5">
        <v>27</v>
      </c>
      <c r="C31" s="5">
        <v>1206</v>
      </c>
      <c r="D31" s="1" t="s">
        <v>54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0</v>
      </c>
      <c r="L31" s="10">
        <v>0</v>
      </c>
      <c r="M31" s="10">
        <v>0</v>
      </c>
      <c r="N31" s="10">
        <v>0</v>
      </c>
      <c r="O31" s="10">
        <v>0</v>
      </c>
      <c r="P31" s="10">
        <v>0</v>
      </c>
      <c r="Q31" s="10">
        <v>0</v>
      </c>
      <c r="R31" s="10">
        <v>0</v>
      </c>
      <c r="S31" s="10">
        <v>0</v>
      </c>
      <c r="T31" s="10">
        <v>0</v>
      </c>
      <c r="U31" s="10">
        <v>0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1">
        <f>AVERAGE(E31:Z31)</f>
        <v>0</v>
      </c>
    </row>
    <row r="32" spans="2:28" x14ac:dyDescent="0.25">
      <c r="B32" s="5">
        <v>28</v>
      </c>
      <c r="C32" s="5">
        <v>1144</v>
      </c>
      <c r="D32" s="1" t="s">
        <v>55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10">
        <v>0</v>
      </c>
      <c r="P32" s="10">
        <v>0</v>
      </c>
      <c r="Q32" s="10">
        <v>0</v>
      </c>
      <c r="R32" s="10">
        <v>0</v>
      </c>
      <c r="S32" s="10">
        <v>0</v>
      </c>
      <c r="T32" s="10">
        <v>0</v>
      </c>
      <c r="U32" s="10">
        <v>0</v>
      </c>
      <c r="V32" s="10">
        <v>0</v>
      </c>
      <c r="W32" s="10">
        <v>0</v>
      </c>
      <c r="X32" s="10">
        <v>0</v>
      </c>
      <c r="Y32" s="10">
        <v>0</v>
      </c>
      <c r="Z32" s="10">
        <v>0</v>
      </c>
      <c r="AA32" s="10">
        <v>0</v>
      </c>
      <c r="AB32" s="11">
        <f>AVERAGE(E32:Z32)</f>
        <v>0</v>
      </c>
    </row>
    <row r="33" spans="2:28" x14ac:dyDescent="0.25">
      <c r="B33" s="5">
        <v>29</v>
      </c>
      <c r="C33" s="5">
        <v>1137</v>
      </c>
      <c r="D33" s="1" t="s">
        <v>56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0</v>
      </c>
      <c r="K33" s="10">
        <v>0</v>
      </c>
      <c r="L33" s="10">
        <v>0</v>
      </c>
      <c r="M33" s="10">
        <v>0</v>
      </c>
      <c r="N33" s="10">
        <v>0</v>
      </c>
      <c r="O33" s="10">
        <v>0</v>
      </c>
      <c r="P33" s="10">
        <v>0</v>
      </c>
      <c r="Q33" s="10">
        <v>0</v>
      </c>
      <c r="R33" s="10">
        <v>0</v>
      </c>
      <c r="S33" s="10">
        <v>0</v>
      </c>
      <c r="T33" s="10">
        <v>0</v>
      </c>
      <c r="U33" s="10">
        <v>0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1">
        <f>AVERAGE(E33:Z33)</f>
        <v>0</v>
      </c>
    </row>
    <row r="34" spans="2:28" x14ac:dyDescent="0.25">
      <c r="B34" s="5">
        <v>30</v>
      </c>
      <c r="C34" s="5">
        <v>1216</v>
      </c>
      <c r="D34" s="1" t="s">
        <v>57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0">
        <v>0</v>
      </c>
      <c r="X34" s="10">
        <v>0</v>
      </c>
      <c r="Y34" s="10">
        <v>0</v>
      </c>
      <c r="Z34" s="10">
        <v>0</v>
      </c>
      <c r="AA34" s="10">
        <v>0</v>
      </c>
      <c r="AB34" s="11">
        <f>AVERAGE(E34:Z34)</f>
        <v>0</v>
      </c>
    </row>
    <row r="35" spans="2:28" x14ac:dyDescent="0.25">
      <c r="B35" s="5">
        <v>31</v>
      </c>
      <c r="C35" s="5">
        <v>1254</v>
      </c>
      <c r="D35" s="1" t="s">
        <v>58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  <c r="T35" s="10">
        <v>0</v>
      </c>
      <c r="U35" s="10">
        <v>0</v>
      </c>
      <c r="V35" s="10">
        <v>0</v>
      </c>
      <c r="W35" s="10">
        <v>0</v>
      </c>
      <c r="X35" s="10">
        <v>0</v>
      </c>
      <c r="Y35" s="10">
        <v>0</v>
      </c>
      <c r="Z35" s="10">
        <v>0</v>
      </c>
      <c r="AA35" s="10">
        <v>0</v>
      </c>
      <c r="AB35" s="11">
        <f>AVERAGE(E35:Z35)</f>
        <v>0</v>
      </c>
    </row>
  </sheetData>
  <mergeCells count="2">
    <mergeCell ref="B2:D2"/>
    <mergeCell ref="E2:AB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Calificaciones</vt:lpstr>
      <vt:lpstr>Tareas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Guerra Santibanez Elisa (BGSW/EBS3.1-SX)</dc:creator>
  <cp:lastModifiedBy>Guerra Santibanez Elisa (BGSW/EBS3.1-SX)</cp:lastModifiedBy>
  <dcterms:created xsi:type="dcterms:W3CDTF">2025-11-01T17:31:50Z</dcterms:created>
  <dcterms:modified xsi:type="dcterms:W3CDTF">2025-11-01T20:13:55Z</dcterms:modified>
</cp:coreProperties>
</file>