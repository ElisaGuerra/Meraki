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Calificaciones" sheetId="3" r:id="rId1"/>
    <sheet name="Tareas" sheetId="1" r:id="rId2"/>
    <sheet name="Incidencia  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<sst xmlns="http://schemas.openxmlformats.org/spreadsheetml/2006/main" count="186" uniqueCount="134">
  <si>
    <t>N7 SECUNDARIA 1°A</t>
  </si>
  <si>
    <t>Historia</t>
  </si>
  <si>
    <t>Concepto a Calificar</t>
  </si>
  <si>
    <t>Examen 1</t>
  </si>
  <si>
    <t>Examen 2</t>
  </si>
  <si>
    <t>Examen Trimestral</t>
  </si>
  <si>
    <t>Disciplina</t>
  </si>
  <si>
    <t>Tareas</t>
  </si>
  <si>
    <t>Registro Diario</t>
  </si>
  <si>
    <t>Proyecto</t>
  </si>
  <si>
    <t>Promedio</t>
  </si>
  <si>
    <t>Comentario de Apoyo Requerido</t>
  </si>
  <si>
    <t>Porcentaje</t>
  </si>
  <si>
    <t>No.</t>
  </si>
  <si>
    <t>Matrícula</t>
  </si>
  <si>
    <t>Nombre del Alumno</t>
  </si>
  <si>
    <t>Barbosa Leon Damian Alejandro</t>
  </si>
  <si>
    <t>Barragan Canela Leonela Nicole</t>
  </si>
  <si>
    <t>Barrera Ortega Ximena Paola</t>
  </si>
  <si>
    <t>Bernal Serrano Jessica Liliana</t>
  </si>
  <si>
    <t>Castillo Lopez Carlos Gael</t>
  </si>
  <si>
    <t>Cárdenas Calá Antonella</t>
  </si>
  <si>
    <t>Cruz Gama Mateo Emiliano</t>
  </si>
  <si>
    <t>Cueva Rangel Oswaldo Eleazar</t>
  </si>
  <si>
    <t>Dávalos Sánchez Francisco Tadeo</t>
  </si>
  <si>
    <t>Díaz Elizalde Sofía</t>
  </si>
  <si>
    <t>Espinoza Gonzalez Leonardo Daniel</t>
  </si>
  <si>
    <t>Fuentes Fernandez Maximo Dario</t>
  </si>
  <si>
    <t>PPRIM242550</t>
  </si>
  <si>
    <t>Gonzalez Parra Amanda Rhomina</t>
  </si>
  <si>
    <t>Gonzalez Soto Adiel Emiliano</t>
  </si>
  <si>
    <t>González de la Cerda Isaías Daniel</t>
  </si>
  <si>
    <t>Hernández Félix Neizan Jesús</t>
  </si>
  <si>
    <t>Hernández López Santiago Matías</t>
  </si>
  <si>
    <t>Irineo Navarro Sofia Esmeralda</t>
  </si>
  <si>
    <t>Ivañez Duran Tadeo Salvador</t>
  </si>
  <si>
    <t>Jaime Cambero Ian Carlo</t>
  </si>
  <si>
    <t>Jimenez Moreno Fátima Johana Yazmin</t>
  </si>
  <si>
    <t>Lúa Alexander Yelena Itzayana</t>
  </si>
  <si>
    <t>Martínez Rodríguez Dayana</t>
  </si>
  <si>
    <t>Mendoza Gaspar Julian</t>
  </si>
  <si>
    <t>Paramo Castro Mateo</t>
  </si>
  <si>
    <t>Ponce Ramirez Alexandra Dannaé</t>
  </si>
  <si>
    <t>Solares Moreno Ximena Anahi</t>
  </si>
  <si>
    <t>Solorzano Alvarado Santiago Gabriel</t>
  </si>
  <si>
    <t>Soto Ayala Christian Gabriel</t>
  </si>
  <si>
    <t>Soto Lobo Andrea</t>
  </si>
  <si>
    <t>Vera Gomez Santiago Karim</t>
  </si>
  <si>
    <t>TOTAL</t>
  </si>
  <si>
    <t xml:space="preserve">Historia </t>
  </si>
  <si>
    <t>Tarea</t>
  </si>
  <si>
    <t xml:space="preserve">Entrevista ¿Cómo se vivía en la infancia? </t>
  </si>
  <si>
    <t xml:space="preserve">Historia de un pueblo de México </t>
  </si>
  <si>
    <t xml:space="preserve">Mito o leyenda de un pueblo </t>
  </si>
  <si>
    <t xml:space="preserve">Mapa del Continente americano que abarque toda la hoja </t>
  </si>
  <si>
    <t xml:space="preserve">Fuente histórica directa o indirecta </t>
  </si>
  <si>
    <t xml:space="preserve">Diferencia entre hecho y proceso histórico </t>
  </si>
  <si>
    <t>¿Qué son las pinturas rupestres y que finalidad tenían?</t>
  </si>
  <si>
    <t xml:space="preserve">Tumbass de tiro </t>
  </si>
  <si>
    <t xml:space="preserve">Mujeres historiadoras </t>
  </si>
  <si>
    <t xml:space="preserve">Tabla elementos culturales prehispánicos </t>
  </si>
  <si>
    <t xml:space="preserve">Culturas que habitaron Oasisiamérica y Aridoamérica </t>
  </si>
  <si>
    <t xml:space="preserve">Gastronomía Mesoaméricana </t>
  </si>
  <si>
    <t xml:space="preserve">El Popol Voh </t>
  </si>
  <si>
    <t xml:space="preserve">Primeros pobladores de América </t>
  </si>
  <si>
    <t>Dibujo de Chacmol y su uso</t>
  </si>
  <si>
    <t>¿Qué es un teocalli?</t>
  </si>
  <si>
    <t>¿Qué es una chinampa?</t>
  </si>
  <si>
    <t xml:space="preserve">Temario </t>
  </si>
  <si>
    <t>BARBOSA LEON DAMIAN ALEJANDRO</t>
  </si>
  <si>
    <t>BARRAGAN CANELA LEONELA NICOLE</t>
  </si>
  <si>
    <t>BARRERA ORTEGA XIMENA PAOLA</t>
  </si>
  <si>
    <t>BERNAL SERRANO JESSICA LILIANA</t>
  </si>
  <si>
    <t>CASTILLO LOPEZ CARLOS GAEL</t>
  </si>
  <si>
    <t>CÁRDENAS CALÁ ANTONELLA</t>
  </si>
  <si>
    <t>CRUZ GAMA MATEO EMILIANO</t>
  </si>
  <si>
    <t>CUEVA RANGEL OSWALDO ELEAZAR</t>
  </si>
  <si>
    <t>DÁVALOS SÁNCHEZ FRANCISCO TADEO</t>
  </si>
  <si>
    <t>DÍAZ ELIZALDE SOFÍA</t>
  </si>
  <si>
    <t>ESPINOZA GONZALEZ LEONARDO DANIEL</t>
  </si>
  <si>
    <t>FUENTES FERNANDEZ MAXIMO DARIO</t>
  </si>
  <si>
    <t>GONZALEZ PARRA AMANDA RHOMINA</t>
  </si>
  <si>
    <t>GONZALEZ SOTO ADIEL EMILIANO</t>
  </si>
  <si>
    <t>GONZÁLEZ DE LA CERDA ISAÍAS DANIEL</t>
  </si>
  <si>
    <t>HERNÁNDEZ FÉLIX NEIZAN JESÚS</t>
  </si>
  <si>
    <t>HERNÁNDEZ LÓPEZ SANTIAGO MATÍAS</t>
  </si>
  <si>
    <t>IRINEO NAVARRO SOFIA ESMERALDA</t>
  </si>
  <si>
    <t>IVAÑEZ DURAN TADEO SALVADOR</t>
  </si>
  <si>
    <t>JAIME CAMBERO IAN CARLO</t>
  </si>
  <si>
    <t>JIMENEZ MORENO FÁTIMA JOHANA YAZMIN</t>
  </si>
  <si>
    <t>LÚA ALEXANDER YELENA ITZAYANA</t>
  </si>
  <si>
    <t>MARTÍNEZ RODRÍGUEZ DAYANA</t>
  </si>
  <si>
    <t>MENDOZA GASPAR JULIAN</t>
  </si>
  <si>
    <t>PARAMO CASTRO MATEO</t>
  </si>
  <si>
    <t>PONCE RAMIREZ ALEXANDRA DANNAÉ</t>
  </si>
  <si>
    <t>SOLARES MORENO XIMENA ANAHI</t>
  </si>
  <si>
    <t>SOLORZANO ALVARADO SANTIAGO GABRIEL</t>
  </si>
  <si>
    <t>SOTO AYALA CHRISTIAN GABRIEL</t>
  </si>
  <si>
    <t>SOTO LOBO ANDREA</t>
  </si>
  <si>
    <t>VERA GOMEZ SANTIAGO KARIM</t>
  </si>
  <si>
    <t>Historia I</t>
  </si>
  <si>
    <t>Conducta</t>
  </si>
  <si>
    <t>Concepto</t>
  </si>
  <si>
    <t xml:space="preserve">Revisión del Libro P.P. -  Lo que debe </t>
  </si>
  <si>
    <t xml:space="preserve">Revisión del Cuaderno-Lecciones no tomadas </t>
  </si>
  <si>
    <t xml:space="preserve">debe 42 proyecto 10 </t>
  </si>
  <si>
    <t>Lecciones // Tareas</t>
  </si>
  <si>
    <t>debe 44 proyecto 6pp</t>
  </si>
  <si>
    <r>
      <rPr>
        <b/>
        <sz val="11"/>
        <color theme="1"/>
        <rFont val="Aptos Narrow"/>
        <charset val="134"/>
        <scheme val="minor"/>
      </rPr>
      <t>30/30</t>
    </r>
    <r>
      <rPr>
        <sz val="11"/>
        <color theme="1"/>
        <rFont val="Aptos Narrow"/>
        <charset val="134"/>
        <scheme val="minor"/>
      </rPr>
      <t xml:space="preserve"> Lecciones </t>
    </r>
    <r>
      <rPr>
        <b/>
        <sz val="11"/>
        <color theme="1"/>
        <rFont val="Aptos Narrow"/>
        <charset val="134"/>
        <scheme val="minor"/>
      </rPr>
      <t xml:space="preserve">=10 </t>
    </r>
    <r>
      <rPr>
        <sz val="11"/>
        <color theme="1"/>
        <rFont val="Aptos Narrow"/>
        <charset val="134"/>
        <scheme val="minor"/>
      </rPr>
      <t xml:space="preserve">// </t>
    </r>
    <r>
      <rPr>
        <b/>
        <sz val="11"/>
        <color theme="1"/>
        <rFont val="Aptos Narrow"/>
        <charset val="134"/>
        <scheme val="minor"/>
      </rPr>
      <t>14/14</t>
    </r>
    <r>
      <rPr>
        <sz val="11"/>
        <color theme="1"/>
        <rFont val="Aptos Narrow"/>
        <charset val="134"/>
        <scheme val="minor"/>
      </rPr>
      <t xml:space="preserve"> Tareas </t>
    </r>
    <r>
      <rPr>
        <b/>
        <sz val="11"/>
        <color theme="1"/>
        <rFont val="Aptos Narrow"/>
        <charset val="134"/>
        <scheme val="minor"/>
      </rPr>
      <t xml:space="preserve">=10 </t>
    </r>
  </si>
  <si>
    <r>
      <rPr>
        <b/>
        <sz val="11"/>
        <color theme="1"/>
        <rFont val="Aptos Narrow"/>
        <charset val="134"/>
        <scheme val="minor"/>
      </rPr>
      <t>10/30</t>
    </r>
    <r>
      <rPr>
        <sz val="11"/>
        <color theme="1"/>
        <rFont val="Aptos Narrow"/>
        <charset val="134"/>
        <scheme val="minor"/>
      </rPr>
      <t xml:space="preserve"> Lecciones </t>
    </r>
    <r>
      <rPr>
        <b/>
        <sz val="11"/>
        <color theme="1"/>
        <rFont val="Aptos Narrow"/>
        <charset val="134"/>
        <scheme val="minor"/>
      </rPr>
      <t>= 3.3</t>
    </r>
    <r>
      <rPr>
        <sz val="11"/>
        <color theme="1"/>
        <rFont val="Aptos Narrow"/>
        <charset val="134"/>
        <scheme val="minor"/>
      </rPr>
      <t xml:space="preserve">  // </t>
    </r>
    <r>
      <rPr>
        <b/>
        <sz val="11"/>
        <color theme="1"/>
        <rFont val="Aptos Narrow"/>
        <charset val="134"/>
        <scheme val="minor"/>
      </rPr>
      <t>2/14</t>
    </r>
    <r>
      <rPr>
        <sz val="11"/>
        <color theme="1"/>
        <rFont val="Aptos Narrow"/>
        <charset val="134"/>
        <scheme val="minor"/>
      </rPr>
      <t xml:space="preserve"> Tareas </t>
    </r>
    <r>
      <rPr>
        <b/>
        <sz val="11"/>
        <color theme="1"/>
        <rFont val="Aptos Narrow"/>
        <charset val="134"/>
        <scheme val="minor"/>
      </rPr>
      <t xml:space="preserve">= 1.4 </t>
    </r>
  </si>
  <si>
    <r>
      <rPr>
        <b/>
        <sz val="11"/>
        <color theme="1"/>
        <rFont val="Aptos Narrow"/>
        <charset val="134"/>
        <scheme val="minor"/>
      </rPr>
      <t>17/30</t>
    </r>
    <r>
      <rPr>
        <sz val="11"/>
        <color theme="1"/>
        <rFont val="Aptos Narrow"/>
        <charset val="134"/>
        <scheme val="minor"/>
      </rPr>
      <t xml:space="preserve"> Lecciones</t>
    </r>
    <r>
      <rPr>
        <b/>
        <sz val="11"/>
        <color theme="1"/>
        <rFont val="Aptos Narrow"/>
        <charset val="134"/>
        <scheme val="minor"/>
      </rPr>
      <t xml:space="preserve"> = 5.6 </t>
    </r>
    <r>
      <rPr>
        <sz val="11"/>
        <color theme="1"/>
        <rFont val="Aptos Narrow"/>
        <charset val="134"/>
        <scheme val="minor"/>
      </rPr>
      <t xml:space="preserve">// </t>
    </r>
    <r>
      <rPr>
        <b/>
        <sz val="11"/>
        <color theme="1"/>
        <rFont val="Aptos Narrow"/>
        <charset val="134"/>
        <scheme val="minor"/>
      </rPr>
      <t xml:space="preserve">9/14 </t>
    </r>
    <r>
      <rPr>
        <sz val="11"/>
        <color theme="1"/>
        <rFont val="Aptos Narrow"/>
        <charset val="134"/>
        <scheme val="minor"/>
      </rPr>
      <t>Tareas</t>
    </r>
    <r>
      <rPr>
        <b/>
        <sz val="11"/>
        <color theme="1"/>
        <rFont val="Aptos Narrow"/>
        <charset val="134"/>
        <scheme val="minor"/>
      </rPr>
      <t xml:space="preserve">= 6.4 </t>
    </r>
  </si>
  <si>
    <r>
      <rPr>
        <b/>
        <sz val="11"/>
        <color theme="1"/>
        <rFont val="Aptos Narrow"/>
        <charset val="134"/>
        <scheme val="minor"/>
      </rPr>
      <t>29/30</t>
    </r>
    <r>
      <rPr>
        <sz val="11"/>
        <color theme="1"/>
        <rFont val="Aptos Narrow"/>
        <charset val="134"/>
        <scheme val="minor"/>
      </rPr>
      <t xml:space="preserve"> Lecciones </t>
    </r>
    <r>
      <rPr>
        <b/>
        <sz val="11"/>
        <color theme="1"/>
        <rFont val="Aptos Narrow"/>
        <charset val="134"/>
        <scheme val="minor"/>
      </rPr>
      <t>=9.6</t>
    </r>
    <r>
      <rPr>
        <sz val="11"/>
        <color theme="1"/>
        <rFont val="Aptos Narrow"/>
        <charset val="134"/>
        <scheme val="minor"/>
      </rPr>
      <t xml:space="preserve"> // </t>
    </r>
    <r>
      <rPr>
        <b/>
        <sz val="11"/>
        <color theme="1"/>
        <rFont val="Aptos Narrow"/>
        <charset val="134"/>
        <scheme val="minor"/>
      </rPr>
      <t xml:space="preserve">14/14 </t>
    </r>
    <r>
      <rPr>
        <sz val="11"/>
        <color theme="1"/>
        <rFont val="Aptos Narrow"/>
        <charset val="134"/>
        <scheme val="minor"/>
      </rPr>
      <t>Tareas</t>
    </r>
    <r>
      <rPr>
        <b/>
        <sz val="11"/>
        <color theme="1"/>
        <rFont val="Aptos Narrow"/>
        <charset val="134"/>
        <scheme val="minor"/>
      </rPr>
      <t xml:space="preserve"> = 10 </t>
    </r>
  </si>
  <si>
    <r>
      <rPr>
        <b/>
        <sz val="11"/>
        <color theme="1"/>
        <rFont val="Aptos Narrow"/>
        <charset val="134"/>
        <scheme val="minor"/>
      </rPr>
      <t>23/30</t>
    </r>
    <r>
      <rPr>
        <sz val="11"/>
        <color theme="1"/>
        <rFont val="Aptos Narrow"/>
        <charset val="134"/>
        <scheme val="minor"/>
      </rPr>
      <t xml:space="preserve"> Lecciones =</t>
    </r>
    <r>
      <rPr>
        <b/>
        <sz val="11"/>
        <color theme="1"/>
        <rFont val="Aptos Narrow"/>
        <charset val="134"/>
        <scheme val="minor"/>
      </rPr>
      <t xml:space="preserve">7.6 </t>
    </r>
    <r>
      <rPr>
        <sz val="11"/>
        <color theme="1"/>
        <rFont val="Aptos Narrow"/>
        <charset val="134"/>
        <scheme val="minor"/>
      </rPr>
      <t xml:space="preserve">// </t>
    </r>
    <r>
      <rPr>
        <b/>
        <sz val="11"/>
        <color theme="1"/>
        <rFont val="Aptos Narrow"/>
        <charset val="134"/>
        <scheme val="minor"/>
      </rPr>
      <t xml:space="preserve">2/14 </t>
    </r>
    <r>
      <rPr>
        <sz val="11"/>
        <color theme="1"/>
        <rFont val="Aptos Narrow"/>
        <charset val="134"/>
        <scheme val="minor"/>
      </rPr>
      <t xml:space="preserve">Tareas </t>
    </r>
    <r>
      <rPr>
        <b/>
        <sz val="11"/>
        <color theme="1"/>
        <rFont val="Aptos Narrow"/>
        <charset val="134"/>
        <scheme val="minor"/>
      </rPr>
      <t>= 1.4</t>
    </r>
  </si>
  <si>
    <r>
      <rPr>
        <b/>
        <sz val="11"/>
        <color theme="1"/>
        <rFont val="Aptos Narrow"/>
        <charset val="134"/>
        <scheme val="minor"/>
      </rPr>
      <t>27/30</t>
    </r>
    <r>
      <rPr>
        <sz val="11"/>
        <color theme="1"/>
        <rFont val="Aptos Narrow"/>
        <charset val="134"/>
        <scheme val="minor"/>
      </rPr>
      <t xml:space="preserve"> Lecciones =</t>
    </r>
    <r>
      <rPr>
        <b/>
        <sz val="11"/>
        <color theme="1"/>
        <rFont val="Aptos Narrow"/>
        <charset val="134"/>
        <scheme val="minor"/>
      </rPr>
      <t xml:space="preserve"> 9.0 </t>
    </r>
    <r>
      <rPr>
        <sz val="11"/>
        <color theme="1"/>
        <rFont val="Aptos Narrow"/>
        <charset val="134"/>
        <scheme val="minor"/>
      </rPr>
      <t xml:space="preserve"> //</t>
    </r>
    <r>
      <rPr>
        <b/>
        <sz val="11"/>
        <color theme="1"/>
        <rFont val="Aptos Narrow"/>
        <charset val="134"/>
        <scheme val="minor"/>
      </rPr>
      <t>14/14</t>
    </r>
    <r>
      <rPr>
        <sz val="11"/>
        <color theme="1"/>
        <rFont val="Aptos Narrow"/>
        <charset val="134"/>
        <scheme val="minor"/>
      </rPr>
      <t xml:space="preserve"> Tareas </t>
    </r>
    <r>
      <rPr>
        <b/>
        <sz val="11"/>
        <color theme="1"/>
        <rFont val="Aptos Narrow"/>
        <charset val="134"/>
        <scheme val="minor"/>
      </rPr>
      <t>=10</t>
    </r>
    <r>
      <rPr>
        <sz val="11"/>
        <color theme="1"/>
        <rFont val="Aptos Narrow"/>
        <charset val="134"/>
        <scheme val="minor"/>
      </rPr>
      <t xml:space="preserve"> </t>
    </r>
  </si>
  <si>
    <t xml:space="preserve">Debe 1  //0 </t>
  </si>
  <si>
    <r>
      <rPr>
        <b/>
        <sz val="11"/>
        <color theme="1"/>
        <rFont val="Aptos Narrow"/>
        <charset val="134"/>
        <scheme val="minor"/>
      </rPr>
      <t xml:space="preserve">20/30 </t>
    </r>
    <r>
      <rPr>
        <sz val="11"/>
        <color theme="1"/>
        <rFont val="Aptos Narrow"/>
        <charset val="134"/>
        <scheme val="minor"/>
      </rPr>
      <t xml:space="preserve">Lecciones = </t>
    </r>
    <r>
      <rPr>
        <b/>
        <sz val="11"/>
        <color theme="1"/>
        <rFont val="Aptos Narrow"/>
        <charset val="134"/>
        <scheme val="minor"/>
      </rPr>
      <t>6.6</t>
    </r>
    <r>
      <rPr>
        <sz val="11"/>
        <color theme="1"/>
        <rFont val="Aptos Narrow"/>
        <charset val="134"/>
        <scheme val="minor"/>
      </rPr>
      <t xml:space="preserve"> // </t>
    </r>
    <r>
      <rPr>
        <b/>
        <sz val="11"/>
        <color theme="1"/>
        <rFont val="Aptos Narrow"/>
        <charset val="134"/>
        <scheme val="minor"/>
      </rPr>
      <t>14/14</t>
    </r>
    <r>
      <rPr>
        <sz val="11"/>
        <color theme="1"/>
        <rFont val="Aptos Narrow"/>
        <charset val="134"/>
        <scheme val="minor"/>
      </rPr>
      <t xml:space="preserve"> Tareas </t>
    </r>
    <r>
      <rPr>
        <b/>
        <sz val="11"/>
        <color theme="1"/>
        <rFont val="Aptos Narrow"/>
        <charset val="134"/>
        <scheme val="minor"/>
      </rPr>
      <t xml:space="preserve">= 10 </t>
    </r>
  </si>
  <si>
    <t>87*100/96 = 9.0 Debe 9 Lecciones // Proyecto 10</t>
  </si>
  <si>
    <r>
      <rPr>
        <b/>
        <sz val="11"/>
        <color theme="1"/>
        <rFont val="Aptos Narrow"/>
        <charset val="134"/>
        <scheme val="minor"/>
      </rPr>
      <t xml:space="preserve">19/30 </t>
    </r>
    <r>
      <rPr>
        <sz val="11"/>
        <color theme="1"/>
        <rFont val="Aptos Narrow"/>
        <charset val="134"/>
        <scheme val="minor"/>
      </rPr>
      <t xml:space="preserve">Lecciones = </t>
    </r>
    <r>
      <rPr>
        <b/>
        <sz val="11"/>
        <color theme="1"/>
        <rFont val="Aptos Narrow"/>
        <charset val="134"/>
        <scheme val="minor"/>
      </rPr>
      <t xml:space="preserve">6.3 </t>
    </r>
    <r>
      <rPr>
        <sz val="11"/>
        <color theme="1"/>
        <rFont val="Aptos Narrow"/>
        <charset val="134"/>
        <scheme val="minor"/>
      </rPr>
      <t xml:space="preserve">// </t>
    </r>
    <r>
      <rPr>
        <b/>
        <sz val="11"/>
        <color theme="1"/>
        <rFont val="Aptos Narrow"/>
        <charset val="134"/>
        <scheme val="minor"/>
      </rPr>
      <t>14/14</t>
    </r>
    <r>
      <rPr>
        <sz val="11"/>
        <color theme="1"/>
        <rFont val="Aptos Narrow"/>
        <charset val="134"/>
        <scheme val="minor"/>
      </rPr>
      <t xml:space="preserve"> Tareas </t>
    </r>
    <r>
      <rPr>
        <b/>
        <sz val="11"/>
        <color theme="1"/>
        <rFont val="Aptos Narrow"/>
        <charset val="134"/>
        <scheme val="minor"/>
      </rPr>
      <t>=</t>
    </r>
    <r>
      <rPr>
        <sz val="11"/>
        <color theme="1"/>
        <rFont val="Aptos Narrow"/>
        <charset val="134"/>
        <scheme val="minor"/>
      </rPr>
      <t xml:space="preserve"> </t>
    </r>
    <r>
      <rPr>
        <b/>
        <sz val="11"/>
        <color theme="1"/>
        <rFont val="Aptos Narrow"/>
        <charset val="134"/>
        <scheme val="minor"/>
      </rPr>
      <t>10</t>
    </r>
  </si>
  <si>
    <r>
      <rPr>
        <sz val="11"/>
        <color theme="1"/>
        <rFont val="Aptos Narrow"/>
        <charset val="134"/>
        <scheme val="minor"/>
      </rPr>
      <t xml:space="preserve">19/30 Lecciones = 6.3 // 14/14 Tareas = </t>
    </r>
    <r>
      <rPr>
        <b/>
        <sz val="11"/>
        <color theme="1"/>
        <rFont val="Aptos Narrow"/>
        <charset val="134"/>
        <scheme val="minor"/>
      </rPr>
      <t xml:space="preserve">10 </t>
    </r>
  </si>
  <si>
    <r>
      <rPr>
        <b/>
        <sz val="11"/>
        <color theme="1"/>
        <rFont val="Aptos Narrow"/>
        <charset val="134"/>
        <scheme val="minor"/>
      </rPr>
      <t>23/30</t>
    </r>
    <r>
      <rPr>
        <sz val="11"/>
        <color theme="1"/>
        <rFont val="Aptos Narrow"/>
        <charset val="134"/>
        <scheme val="minor"/>
      </rPr>
      <t xml:space="preserve"> Lecciones = </t>
    </r>
    <r>
      <rPr>
        <b/>
        <sz val="11"/>
        <color theme="1"/>
        <rFont val="Aptos Narrow"/>
        <charset val="134"/>
        <scheme val="minor"/>
      </rPr>
      <t>7.6</t>
    </r>
    <r>
      <rPr>
        <sz val="11"/>
        <color theme="1"/>
        <rFont val="Aptos Narrow"/>
        <charset val="134"/>
        <scheme val="minor"/>
      </rPr>
      <t xml:space="preserve"> // </t>
    </r>
    <r>
      <rPr>
        <b/>
        <sz val="11"/>
        <color theme="1"/>
        <rFont val="Aptos Narrow"/>
        <charset val="134"/>
        <scheme val="minor"/>
      </rPr>
      <t xml:space="preserve">10/14 </t>
    </r>
    <r>
      <rPr>
        <sz val="11"/>
        <color theme="1"/>
        <rFont val="Aptos Narrow"/>
        <charset val="134"/>
        <scheme val="minor"/>
      </rPr>
      <t>Tareas</t>
    </r>
    <r>
      <rPr>
        <b/>
        <sz val="11"/>
        <color theme="1"/>
        <rFont val="Aptos Narrow"/>
        <charset val="134"/>
        <scheme val="minor"/>
      </rPr>
      <t xml:space="preserve"> = 7.1</t>
    </r>
  </si>
  <si>
    <r>
      <rPr>
        <b/>
        <sz val="11"/>
        <color theme="1"/>
        <rFont val="Aptos Narrow"/>
        <charset val="134"/>
        <scheme val="minor"/>
      </rPr>
      <t>24/30</t>
    </r>
    <r>
      <rPr>
        <sz val="11"/>
        <color theme="1"/>
        <rFont val="Aptos Narrow"/>
        <charset val="134"/>
        <scheme val="minor"/>
      </rPr>
      <t xml:space="preserve"> Lecciones</t>
    </r>
    <r>
      <rPr>
        <b/>
        <sz val="11"/>
        <color theme="1"/>
        <rFont val="Aptos Narrow"/>
        <charset val="134"/>
        <scheme val="minor"/>
      </rPr>
      <t>= 8.0</t>
    </r>
    <r>
      <rPr>
        <sz val="11"/>
        <color theme="1"/>
        <rFont val="Aptos Narrow"/>
        <charset val="134"/>
        <scheme val="minor"/>
      </rPr>
      <t xml:space="preserve"> // </t>
    </r>
    <r>
      <rPr>
        <b/>
        <sz val="11"/>
        <color theme="1"/>
        <rFont val="Aptos Narrow"/>
        <charset val="134"/>
        <scheme val="minor"/>
      </rPr>
      <t>5/14</t>
    </r>
    <r>
      <rPr>
        <sz val="11"/>
        <color theme="1"/>
        <rFont val="Aptos Narrow"/>
        <charset val="134"/>
        <scheme val="minor"/>
      </rPr>
      <t xml:space="preserve"> Tareas</t>
    </r>
    <r>
      <rPr>
        <b/>
        <sz val="11"/>
        <color theme="1"/>
        <rFont val="Aptos Narrow"/>
        <charset val="134"/>
        <scheme val="minor"/>
      </rPr>
      <t>= 3.5</t>
    </r>
  </si>
  <si>
    <r>
      <rPr>
        <sz val="11"/>
        <color theme="1"/>
        <rFont val="Aptos Narrow"/>
        <charset val="134"/>
        <scheme val="minor"/>
      </rPr>
      <t xml:space="preserve">89 *100 / 96 = </t>
    </r>
    <r>
      <rPr>
        <b/>
        <sz val="11"/>
        <color theme="1"/>
        <rFont val="Aptos Narrow"/>
        <charset val="134"/>
        <scheme val="minor"/>
      </rPr>
      <t xml:space="preserve">9.2 </t>
    </r>
    <r>
      <rPr>
        <sz val="11"/>
        <color theme="1"/>
        <rFont val="Aptos Narrow"/>
        <charset val="134"/>
        <scheme val="minor"/>
      </rPr>
      <t xml:space="preserve"> Debe 7 Lecciones //  Proyecto 10</t>
    </r>
  </si>
  <si>
    <r>
      <rPr>
        <b/>
        <sz val="11"/>
        <color theme="1"/>
        <rFont val="Aptos Narrow"/>
        <charset val="134"/>
        <scheme val="minor"/>
      </rPr>
      <t xml:space="preserve">28/30 </t>
    </r>
    <r>
      <rPr>
        <sz val="11"/>
        <color theme="1"/>
        <rFont val="Aptos Narrow"/>
        <charset val="134"/>
        <scheme val="minor"/>
      </rPr>
      <t xml:space="preserve"> Lecciones </t>
    </r>
    <r>
      <rPr>
        <b/>
        <sz val="11"/>
        <color theme="1"/>
        <rFont val="Aptos Narrow"/>
        <charset val="134"/>
        <scheme val="minor"/>
      </rPr>
      <t xml:space="preserve">= 9.3 </t>
    </r>
    <r>
      <rPr>
        <sz val="11"/>
        <color theme="1"/>
        <rFont val="Aptos Narrow"/>
        <charset val="134"/>
        <scheme val="minor"/>
      </rPr>
      <t>//</t>
    </r>
    <r>
      <rPr>
        <b/>
        <sz val="11"/>
        <color theme="1"/>
        <rFont val="Aptos Narrow"/>
        <charset val="134"/>
        <scheme val="minor"/>
      </rPr>
      <t xml:space="preserve">4/14 </t>
    </r>
    <r>
      <rPr>
        <sz val="11"/>
        <color theme="1"/>
        <rFont val="Aptos Narrow"/>
        <charset val="134"/>
        <scheme val="minor"/>
      </rPr>
      <t>Tareas</t>
    </r>
    <r>
      <rPr>
        <b/>
        <sz val="11"/>
        <color theme="1"/>
        <rFont val="Aptos Narrow"/>
        <charset val="134"/>
        <scheme val="minor"/>
      </rPr>
      <t xml:space="preserve"> = 2.8</t>
    </r>
  </si>
  <si>
    <t>91*100/96= 9.4 Debe 5 Lecciones // Proyecto 10</t>
  </si>
  <si>
    <r>
      <rPr>
        <b/>
        <sz val="11"/>
        <color theme="1"/>
        <rFont val="Aptos Narrow"/>
        <charset val="134"/>
        <scheme val="minor"/>
      </rPr>
      <t>19/30</t>
    </r>
    <r>
      <rPr>
        <sz val="11"/>
        <color theme="1"/>
        <rFont val="Aptos Narrow"/>
        <charset val="134"/>
        <scheme val="minor"/>
      </rPr>
      <t xml:space="preserve"> Lecciones </t>
    </r>
    <r>
      <rPr>
        <b/>
        <sz val="11"/>
        <color theme="1"/>
        <rFont val="Aptos Narrow"/>
        <charset val="134"/>
        <scheme val="minor"/>
      </rPr>
      <t>= 6.3</t>
    </r>
    <r>
      <rPr>
        <sz val="11"/>
        <color theme="1"/>
        <rFont val="Aptos Narrow"/>
        <charset val="134"/>
        <scheme val="minor"/>
      </rPr>
      <t xml:space="preserve"> // </t>
    </r>
    <r>
      <rPr>
        <b/>
        <sz val="11"/>
        <color theme="1"/>
        <rFont val="Aptos Narrow"/>
        <charset val="134"/>
        <scheme val="minor"/>
      </rPr>
      <t>9/14</t>
    </r>
    <r>
      <rPr>
        <sz val="11"/>
        <color theme="1"/>
        <rFont val="Aptos Narrow"/>
        <charset val="134"/>
        <scheme val="minor"/>
      </rPr>
      <t xml:space="preserve"> Tareas </t>
    </r>
    <r>
      <rPr>
        <b/>
        <sz val="11"/>
        <color theme="1"/>
        <rFont val="Aptos Narrow"/>
        <charset val="134"/>
        <scheme val="minor"/>
      </rPr>
      <t>= 6.4</t>
    </r>
  </si>
  <si>
    <r>
      <rPr>
        <b/>
        <sz val="11"/>
        <color theme="1"/>
        <rFont val="Aptos Narrow"/>
        <charset val="134"/>
        <scheme val="minor"/>
      </rPr>
      <t>24/30</t>
    </r>
    <r>
      <rPr>
        <sz val="11"/>
        <color theme="1"/>
        <rFont val="Aptos Narrow"/>
        <charset val="134"/>
        <scheme val="minor"/>
      </rPr>
      <t xml:space="preserve"> Lecciones </t>
    </r>
    <r>
      <rPr>
        <b/>
        <sz val="11"/>
        <color theme="1"/>
        <rFont val="Aptos Narrow"/>
        <charset val="134"/>
        <scheme val="minor"/>
      </rPr>
      <t>=80</t>
    </r>
    <r>
      <rPr>
        <sz val="11"/>
        <color theme="1"/>
        <rFont val="Aptos Narrow"/>
        <charset val="134"/>
        <scheme val="minor"/>
      </rPr>
      <t xml:space="preserve"> // </t>
    </r>
    <r>
      <rPr>
        <b/>
        <sz val="11"/>
        <color theme="1"/>
        <rFont val="Aptos Narrow"/>
        <charset val="134"/>
        <scheme val="minor"/>
      </rPr>
      <t xml:space="preserve">5/14 </t>
    </r>
    <r>
      <rPr>
        <sz val="11"/>
        <color theme="1"/>
        <rFont val="Aptos Narrow"/>
        <charset val="134"/>
        <scheme val="minor"/>
      </rPr>
      <t>Tareas</t>
    </r>
    <r>
      <rPr>
        <b/>
        <sz val="11"/>
        <color theme="1"/>
        <rFont val="Aptos Narrow"/>
        <charset val="134"/>
        <scheme val="minor"/>
      </rPr>
      <t>=</t>
    </r>
    <r>
      <rPr>
        <sz val="11"/>
        <color theme="1"/>
        <rFont val="Aptos Narrow"/>
        <charset val="134"/>
        <scheme val="minor"/>
      </rPr>
      <t xml:space="preserve"> </t>
    </r>
    <r>
      <rPr>
        <b/>
        <sz val="11"/>
        <color theme="1"/>
        <rFont val="Aptos Narrow"/>
        <charset val="134"/>
        <scheme val="minor"/>
      </rPr>
      <t>3.5</t>
    </r>
  </si>
  <si>
    <r>
      <rPr>
        <sz val="11"/>
        <color theme="1"/>
        <rFont val="Aptos Narrow"/>
        <charset val="134"/>
        <scheme val="minor"/>
      </rPr>
      <t xml:space="preserve">83*100/96= </t>
    </r>
    <r>
      <rPr>
        <b/>
        <sz val="11"/>
        <color theme="1"/>
        <rFont val="Aptos Narrow"/>
        <charset val="134"/>
        <scheme val="minor"/>
      </rPr>
      <t xml:space="preserve">8.6 </t>
    </r>
    <r>
      <rPr>
        <sz val="11"/>
        <color theme="1"/>
        <rFont val="Aptos Narrow"/>
        <charset val="134"/>
        <scheme val="minor"/>
      </rPr>
      <t xml:space="preserve">Debe 13 Lecciones // Proyecto </t>
    </r>
    <r>
      <rPr>
        <b/>
        <sz val="11"/>
        <color theme="1"/>
        <rFont val="Aptos Narrow"/>
        <charset val="134"/>
        <scheme val="minor"/>
      </rPr>
      <t>10</t>
    </r>
  </si>
  <si>
    <r>
      <rPr>
        <b/>
        <sz val="11"/>
        <color theme="1"/>
        <rFont val="Aptos Narrow"/>
        <charset val="134"/>
        <scheme val="minor"/>
      </rPr>
      <t>19/30</t>
    </r>
    <r>
      <rPr>
        <sz val="11"/>
        <color theme="1"/>
        <rFont val="Aptos Narrow"/>
        <charset val="134"/>
        <scheme val="minor"/>
      </rPr>
      <t xml:space="preserve"> Lecciones= </t>
    </r>
    <r>
      <rPr>
        <b/>
        <sz val="11"/>
        <color theme="1"/>
        <rFont val="Aptos Narrow"/>
        <charset val="134"/>
        <scheme val="minor"/>
      </rPr>
      <t>6.3</t>
    </r>
    <r>
      <rPr>
        <sz val="11"/>
        <color theme="1"/>
        <rFont val="Aptos Narrow"/>
        <charset val="134"/>
        <scheme val="minor"/>
      </rPr>
      <t xml:space="preserve"> // </t>
    </r>
    <r>
      <rPr>
        <b/>
        <sz val="11"/>
        <color theme="1"/>
        <rFont val="Aptos Narrow"/>
        <charset val="134"/>
        <scheme val="minor"/>
      </rPr>
      <t xml:space="preserve">6/14 </t>
    </r>
    <r>
      <rPr>
        <sz val="11"/>
        <color theme="1"/>
        <rFont val="Aptos Narrow"/>
        <charset val="134"/>
        <scheme val="minor"/>
      </rPr>
      <t xml:space="preserve">Tareas </t>
    </r>
    <r>
      <rPr>
        <b/>
        <sz val="11"/>
        <color theme="1"/>
        <rFont val="Aptos Narrow"/>
        <charset val="134"/>
        <scheme val="minor"/>
      </rPr>
      <t>= 4.2</t>
    </r>
  </si>
  <si>
    <r>
      <rPr>
        <sz val="11"/>
        <color theme="1"/>
        <rFont val="Aptos Narrow"/>
        <charset val="134"/>
        <scheme val="minor"/>
      </rPr>
      <t>13//30 Lecciones</t>
    </r>
    <r>
      <rPr>
        <b/>
        <sz val="11"/>
        <color theme="1"/>
        <rFont val="Aptos Narrow"/>
        <charset val="134"/>
        <scheme val="minor"/>
      </rPr>
      <t>=4.3</t>
    </r>
    <r>
      <rPr>
        <sz val="11"/>
        <color theme="1"/>
        <rFont val="Aptos Narrow"/>
        <charset val="134"/>
        <scheme val="minor"/>
      </rPr>
      <t xml:space="preserve"> // </t>
    </r>
    <r>
      <rPr>
        <b/>
        <sz val="11"/>
        <color theme="1"/>
        <rFont val="Aptos Narrow"/>
        <charset val="134"/>
        <scheme val="minor"/>
      </rPr>
      <t>2/14</t>
    </r>
    <r>
      <rPr>
        <sz val="11"/>
        <color theme="1"/>
        <rFont val="Aptos Narrow"/>
        <charset val="134"/>
        <scheme val="minor"/>
      </rPr>
      <t xml:space="preserve"> Tareas=</t>
    </r>
    <r>
      <rPr>
        <b/>
        <sz val="11"/>
        <color theme="1"/>
        <rFont val="Aptos Narrow"/>
        <charset val="134"/>
        <scheme val="minor"/>
      </rPr>
      <t>1.4</t>
    </r>
  </si>
  <si>
    <r>
      <rPr>
        <sz val="11"/>
        <color theme="1"/>
        <rFont val="Aptos Narrow"/>
        <charset val="134"/>
        <scheme val="minor"/>
      </rPr>
      <t>3</t>
    </r>
    <r>
      <rPr>
        <b/>
        <sz val="11"/>
        <color theme="1"/>
        <rFont val="Aptos Narrow"/>
        <charset val="134"/>
        <scheme val="minor"/>
      </rPr>
      <t>0/30</t>
    </r>
    <r>
      <rPr>
        <sz val="11"/>
        <color theme="1"/>
        <rFont val="Aptos Narrow"/>
        <charset val="134"/>
        <scheme val="minor"/>
      </rPr>
      <t xml:space="preserve"> Lecciones </t>
    </r>
    <r>
      <rPr>
        <b/>
        <sz val="11"/>
        <color theme="1"/>
        <rFont val="Aptos Narrow"/>
        <charset val="134"/>
        <scheme val="minor"/>
      </rPr>
      <t xml:space="preserve">=10 </t>
    </r>
    <r>
      <rPr>
        <sz val="11"/>
        <color theme="1"/>
        <rFont val="Aptos Narrow"/>
        <charset val="134"/>
        <scheme val="minor"/>
      </rPr>
      <t xml:space="preserve"> //</t>
    </r>
    <r>
      <rPr>
        <b/>
        <sz val="11"/>
        <color theme="1"/>
        <rFont val="Aptos Narrow"/>
        <charset val="134"/>
        <scheme val="minor"/>
      </rPr>
      <t xml:space="preserve"> 14/14</t>
    </r>
    <r>
      <rPr>
        <sz val="11"/>
        <color theme="1"/>
        <rFont val="Aptos Narrow"/>
        <charset val="134"/>
        <scheme val="minor"/>
      </rPr>
      <t xml:space="preserve"> Tareas</t>
    </r>
    <r>
      <rPr>
        <b/>
        <sz val="11"/>
        <color theme="1"/>
        <rFont val="Aptos Narrow"/>
        <charset val="134"/>
        <scheme val="minor"/>
      </rPr>
      <t>=10</t>
    </r>
  </si>
  <si>
    <t xml:space="preserve">No tiene libro </t>
  </si>
  <si>
    <r>
      <rPr>
        <b/>
        <sz val="11"/>
        <color theme="1"/>
        <rFont val="Aptos Narrow"/>
        <charset val="134"/>
        <scheme val="minor"/>
      </rPr>
      <t xml:space="preserve">7/30 </t>
    </r>
    <r>
      <rPr>
        <sz val="11"/>
        <color theme="1"/>
        <rFont val="Aptos Narrow"/>
        <charset val="134"/>
        <scheme val="minor"/>
      </rPr>
      <t>Lecciones</t>
    </r>
    <r>
      <rPr>
        <b/>
        <sz val="11"/>
        <color theme="1"/>
        <rFont val="Aptos Narrow"/>
        <charset val="134"/>
        <scheme val="minor"/>
      </rPr>
      <t xml:space="preserve"> = 2.3</t>
    </r>
    <r>
      <rPr>
        <sz val="11"/>
        <color theme="1"/>
        <rFont val="Aptos Narrow"/>
        <charset val="134"/>
        <scheme val="minor"/>
      </rPr>
      <t xml:space="preserve">  // </t>
    </r>
    <r>
      <rPr>
        <b/>
        <sz val="11"/>
        <color theme="1"/>
        <rFont val="Aptos Narrow"/>
        <charset val="134"/>
        <scheme val="minor"/>
      </rPr>
      <t>5/14</t>
    </r>
    <r>
      <rPr>
        <sz val="11"/>
        <color theme="1"/>
        <rFont val="Aptos Narrow"/>
        <charset val="134"/>
        <scheme val="minor"/>
      </rPr>
      <t>Tareas=</t>
    </r>
    <r>
      <rPr>
        <b/>
        <sz val="11"/>
        <color theme="1"/>
        <rFont val="Aptos Narrow"/>
        <charset val="134"/>
        <scheme val="minor"/>
      </rPr>
      <t xml:space="preserve">3.5 </t>
    </r>
  </si>
  <si>
    <r>
      <rPr>
        <b/>
        <sz val="11"/>
        <color theme="1"/>
        <rFont val="Aptos Narrow"/>
        <charset val="134"/>
        <scheme val="minor"/>
      </rPr>
      <t>24/30</t>
    </r>
    <r>
      <rPr>
        <sz val="11"/>
        <color theme="1"/>
        <rFont val="Aptos Narrow"/>
        <charset val="134"/>
        <scheme val="minor"/>
      </rPr>
      <t xml:space="preserve"> Lecciones =</t>
    </r>
    <r>
      <rPr>
        <b/>
        <sz val="11"/>
        <color theme="1"/>
        <rFont val="Aptos Narrow"/>
        <charset val="134"/>
        <scheme val="minor"/>
      </rPr>
      <t xml:space="preserve"> 8.0</t>
    </r>
    <r>
      <rPr>
        <sz val="11"/>
        <color theme="1"/>
        <rFont val="Aptos Narrow"/>
        <charset val="134"/>
        <scheme val="minor"/>
      </rPr>
      <t xml:space="preserve"> // </t>
    </r>
    <r>
      <rPr>
        <b/>
        <sz val="11"/>
        <color theme="1"/>
        <rFont val="Aptos Narrow"/>
        <charset val="134"/>
        <scheme val="minor"/>
      </rPr>
      <t>14/14</t>
    </r>
    <r>
      <rPr>
        <sz val="11"/>
        <color theme="1"/>
        <rFont val="Aptos Narrow"/>
        <charset val="134"/>
        <scheme val="minor"/>
      </rPr>
      <t xml:space="preserve"> Tareas=</t>
    </r>
    <r>
      <rPr>
        <b/>
        <sz val="11"/>
        <color theme="1"/>
        <rFont val="Aptos Narrow"/>
        <charset val="134"/>
        <scheme val="minor"/>
      </rPr>
      <t xml:space="preserve"> 10</t>
    </r>
  </si>
  <si>
    <r>
      <rPr>
        <b/>
        <sz val="11"/>
        <color theme="1"/>
        <rFont val="Aptos Narrow"/>
        <charset val="134"/>
        <scheme val="minor"/>
      </rPr>
      <t xml:space="preserve">21/30 </t>
    </r>
    <r>
      <rPr>
        <sz val="11"/>
        <color theme="1"/>
        <rFont val="Aptos Narrow"/>
        <charset val="134"/>
        <scheme val="minor"/>
      </rPr>
      <t>Lecciones =</t>
    </r>
    <r>
      <rPr>
        <b/>
        <sz val="11"/>
        <color theme="1"/>
        <rFont val="Aptos Narrow"/>
        <charset val="134"/>
        <scheme val="minor"/>
      </rPr>
      <t xml:space="preserve">7.0  </t>
    </r>
    <r>
      <rPr>
        <sz val="11"/>
        <color theme="1"/>
        <rFont val="Aptos Narrow"/>
        <charset val="134"/>
        <scheme val="minor"/>
      </rPr>
      <t xml:space="preserve">// </t>
    </r>
    <r>
      <rPr>
        <b/>
        <sz val="11"/>
        <color theme="1"/>
        <rFont val="Aptos Narrow"/>
        <charset val="134"/>
        <scheme val="minor"/>
      </rPr>
      <t>12/14</t>
    </r>
    <r>
      <rPr>
        <sz val="11"/>
        <color theme="1"/>
        <rFont val="Aptos Narrow"/>
        <charset val="134"/>
        <scheme val="minor"/>
      </rPr>
      <t xml:space="preserve"> Tareas </t>
    </r>
    <r>
      <rPr>
        <b/>
        <sz val="11"/>
        <color theme="1"/>
        <rFont val="Aptos Narrow"/>
        <charset val="134"/>
        <scheme val="minor"/>
      </rPr>
      <t>= 8.5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</si>
</sst>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6">
    <font>
      <sz val="11"/>
      <color theme="1"/>
      <name val="Aptos Narrow"/>
      <charset val="134"/>
      <scheme val="minor"/>
    </font>
    <font>
      <b/>
      <sz val="11"/>
      <color indexed="8"/>
      <name val="Aptos Narrow"/>
      <charset val="134"/>
    </font>
    <font>
      <b/>
      <sz val="11"/>
      <color theme="1"/>
      <name val="Aptos Narrow"/>
      <charset val="134"/>
      <scheme val="minor"/>
    </font>
    <font>
      <sz val="11"/>
      <color indexed="8"/>
      <name val="Aptos Narrow"/>
      <charset val="134"/>
    </font>
    <font>
      <sz val="11"/>
      <color rgb="FFFF0000"/>
      <name val="Aptos Narrow"/>
      <charset val="134"/>
      <scheme val="minor"/>
    </font>
    <font>
      <sz val="11"/>
      <name val="Aptos Narrow"/>
      <charset val="134"/>
      <scheme val="minor"/>
    </font>
    <font>
      <sz val="10.5"/>
      <color rgb="FF333333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83CCEB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9" applyNumberFormat="0" applyAlignment="0" applyProtection="0">
      <alignment vertical="center"/>
    </xf>
    <xf numFmtId="0" fontId="16" fillId="14" borderId="10" applyNumberFormat="0" applyAlignment="0" applyProtection="0">
      <alignment vertical="center"/>
    </xf>
    <xf numFmtId="0" fontId="17" fillId="14" borderId="9" applyNumberFormat="0" applyAlignment="0" applyProtection="0">
      <alignment vertical="center"/>
    </xf>
    <xf numFmtId="0" fontId="18" fillId="1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2" borderId="1" xfId="0" applyNumberFormat="1" applyFont="1" applyFill="1" applyBorder="1" applyAlignment="1" applyProtection="1">
      <alignment horizontal="center"/>
    </xf>
    <xf numFmtId="0" fontId="1" fillId="2" borderId="2" xfId="0" applyNumberFormat="1" applyFont="1" applyFill="1" applyBorder="1" applyAlignment="1" applyProtection="1">
      <alignment horizontal="center"/>
    </xf>
    <xf numFmtId="0" fontId="1" fillId="2" borderId="3" xfId="0" applyNumberFormat="1" applyFont="1" applyFill="1" applyBorder="1" applyAlignment="1" applyProtection="1">
      <alignment horizontal="center"/>
    </xf>
    <xf numFmtId="0" fontId="2" fillId="0" borderId="0" xfId="0" applyFont="1"/>
    <xf numFmtId="0" fontId="3" fillId="3" borderId="4" xfId="0" applyNumberFormat="1" applyFont="1" applyFill="1" applyBorder="1" applyAlignment="1" applyProtection="1"/>
    <xf numFmtId="0" fontId="1" fillId="3" borderId="4" xfId="0" applyNumberFormat="1" applyFont="1" applyFill="1" applyBorder="1" applyAlignment="1" applyProtection="1"/>
    <xf numFmtId="0" fontId="1" fillId="3" borderId="5" xfId="0" applyNumberFormat="1" applyFont="1" applyFill="1" applyBorder="1" applyAlignment="1" applyProtection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4" borderId="4" xfId="0" applyFill="1" applyBorder="1"/>
    <xf numFmtId="0" fontId="4" fillId="4" borderId="4" xfId="0" applyFont="1" applyFill="1" applyBorder="1" applyAlignment="1"/>
    <xf numFmtId="0" fontId="0" fillId="4" borderId="4" xfId="0" applyFont="1" applyFill="1" applyBorder="1" applyAlignment="1"/>
    <xf numFmtId="0" fontId="0" fillId="5" borderId="4" xfId="0" applyFill="1" applyBorder="1"/>
    <xf numFmtId="0" fontId="2" fillId="0" borderId="4" xfId="0" applyFont="1" applyFill="1" applyBorder="1" applyAlignment="1"/>
    <xf numFmtId="0" fontId="0" fillId="0" borderId="4" xfId="0" applyFont="1" applyFill="1" applyBorder="1" applyAlignment="1"/>
    <xf numFmtId="0" fontId="5" fillId="5" borderId="4" xfId="0" applyFont="1" applyFill="1" applyBorder="1" applyAlignment="1"/>
    <xf numFmtId="0" fontId="0" fillId="6" borderId="4" xfId="0" applyFill="1" applyBorder="1"/>
    <xf numFmtId="0" fontId="2" fillId="7" borderId="4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/>
    </xf>
    <xf numFmtId="0" fontId="6" fillId="9" borderId="4" xfId="0" applyFont="1" applyFill="1" applyBorder="1"/>
    <xf numFmtId="0" fontId="6" fillId="9" borderId="4" xfId="0" applyFont="1" applyFill="1" applyBorder="1" applyAlignment="1">
      <alignment horizontal="left"/>
    </xf>
    <xf numFmtId="178" fontId="0" fillId="0" borderId="4" xfId="0" applyNumberFormat="1" applyBorder="1" applyAlignment="1">
      <alignment horizontal="center" vertical="center"/>
    </xf>
    <xf numFmtId="0" fontId="0" fillId="8" borderId="4" xfId="0" applyFill="1" applyBorder="1"/>
    <xf numFmtId="178" fontId="2" fillId="8" borderId="4" xfId="0" applyNumberFormat="1" applyFont="1" applyFill="1" applyBorder="1" applyAlignment="1">
      <alignment horizontal="center"/>
    </xf>
    <xf numFmtId="0" fontId="2" fillId="8" borderId="4" xfId="0" applyFont="1" applyFill="1" applyBorder="1"/>
    <xf numFmtId="9" fontId="0" fillId="0" borderId="4" xfId="0" applyNumberFormat="1" applyBorder="1" applyAlignment="1">
      <alignment horizontal="center"/>
    </xf>
    <xf numFmtId="178" fontId="0" fillId="0" borderId="4" xfId="0" applyNumberFormat="1" applyBorder="1" applyAlignment="1">
      <alignment horizontal="center"/>
    </xf>
    <xf numFmtId="178" fontId="0" fillId="10" borderId="4" xfId="0" applyNumberForma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178" fontId="2" fillId="11" borderId="4" xfId="0" applyNumberFormat="1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7"/>
  <sheetViews>
    <sheetView workbookViewId="0">
      <selection activeCell="B5" sqref="B5:D36"/>
    </sheetView>
  </sheetViews>
  <sheetFormatPr defaultColWidth="9.125" defaultRowHeight="13.8"/>
  <cols>
    <col min="3" max="3" width="12.625" customWidth="1"/>
    <col min="4" max="4" width="36.5" customWidth="1"/>
    <col min="5" max="5" width="11.5" customWidth="1"/>
    <col min="6" max="6" width="15.125" customWidth="1"/>
    <col min="7" max="7" width="19.875" customWidth="1"/>
    <col min="8" max="8" width="13.5" customWidth="1"/>
    <col min="9" max="9" width="9.75" customWidth="1"/>
    <col min="10" max="10" width="18.125" customWidth="1"/>
    <col min="11" max="11" width="10.125" customWidth="1"/>
    <col min="12" max="12" width="9.625" customWidth="1"/>
    <col min="13" max="13" width="34.25" customWidth="1"/>
  </cols>
  <sheetData>
    <row r="2" spans="2:13">
      <c r="B2" s="20" t="s">
        <v>0</v>
      </c>
      <c r="C2" s="20"/>
      <c r="D2" s="20"/>
      <c r="E2" s="20" t="s">
        <v>1</v>
      </c>
      <c r="F2" s="20"/>
      <c r="G2" s="20"/>
      <c r="H2" s="20"/>
      <c r="I2" s="20"/>
      <c r="J2" s="20"/>
      <c r="K2" s="20"/>
      <c r="L2" s="20"/>
      <c r="M2" s="20"/>
    </row>
    <row r="3" spans="2:13">
      <c r="B3" s="28"/>
      <c r="C3" s="28"/>
      <c r="D3" s="30" t="s">
        <v>2</v>
      </c>
      <c r="E3" s="21" t="s">
        <v>3</v>
      </c>
      <c r="F3" s="21" t="s">
        <v>4</v>
      </c>
      <c r="G3" s="21" t="s">
        <v>5</v>
      </c>
      <c r="H3" s="21" t="s">
        <v>6</v>
      </c>
      <c r="I3" s="21" t="s">
        <v>7</v>
      </c>
      <c r="J3" s="21" t="s">
        <v>8</v>
      </c>
      <c r="K3" s="21" t="s">
        <v>9</v>
      </c>
      <c r="L3" s="21" t="s">
        <v>10</v>
      </c>
      <c r="M3" s="21" t="s">
        <v>11</v>
      </c>
    </row>
    <row r="4" spans="2:13">
      <c r="B4" s="10"/>
      <c r="C4" s="10"/>
      <c r="D4" s="10" t="s">
        <v>12</v>
      </c>
      <c r="E4" s="31">
        <v>0.09</v>
      </c>
      <c r="F4" s="31">
        <v>0.09</v>
      </c>
      <c r="G4" s="31">
        <v>0.25</v>
      </c>
      <c r="H4" s="31">
        <v>0.07</v>
      </c>
      <c r="I4" s="31">
        <v>0.2</v>
      </c>
      <c r="J4" s="31">
        <v>0.2</v>
      </c>
      <c r="K4" s="31">
        <v>0.1</v>
      </c>
      <c r="L4" s="28"/>
      <c r="M4" s="10"/>
    </row>
    <row r="5" spans="2:13">
      <c r="B5" s="8" t="s">
        <v>13</v>
      </c>
      <c r="C5" s="8" t="s">
        <v>14</v>
      </c>
      <c r="D5" s="9" t="s">
        <v>15</v>
      </c>
      <c r="E5" s="10"/>
      <c r="F5" s="10"/>
      <c r="G5" s="10"/>
      <c r="H5" s="10"/>
      <c r="I5" s="10"/>
      <c r="J5" s="10"/>
      <c r="K5" s="10"/>
      <c r="L5" s="28"/>
      <c r="M5" s="10"/>
    </row>
    <row r="6" spans="2:13">
      <c r="B6" s="11">
        <v>1</v>
      </c>
      <c r="C6" s="11">
        <v>1261</v>
      </c>
      <c r="D6" t="s">
        <v>16</v>
      </c>
      <c r="E6" s="32">
        <v>3</v>
      </c>
      <c r="F6" s="32">
        <v>7.3</v>
      </c>
      <c r="G6" s="32">
        <v>0</v>
      </c>
      <c r="H6" s="32">
        <v>0</v>
      </c>
      <c r="I6" s="32">
        <f>Tareas!W6</f>
        <v>0</v>
      </c>
      <c r="J6" s="32">
        <v>0</v>
      </c>
      <c r="K6" s="32">
        <v>0</v>
      </c>
      <c r="L6" s="29">
        <f>E6*0.09+F6*0.09+G8*0.25+H6*0.07+I6*0.2+J6*0.2+K6*0.1</f>
        <v>0.927</v>
      </c>
      <c r="M6" s="10"/>
    </row>
    <row r="7" spans="2:13">
      <c r="B7" s="11">
        <v>2</v>
      </c>
      <c r="C7" s="11">
        <v>1249</v>
      </c>
      <c r="D7" s="10" t="s">
        <v>17</v>
      </c>
      <c r="E7" s="32">
        <v>7</v>
      </c>
      <c r="F7" s="32">
        <v>8</v>
      </c>
      <c r="G7" s="32">
        <v>0</v>
      </c>
      <c r="H7" s="32">
        <v>0</v>
      </c>
      <c r="I7" s="32">
        <f>Tareas!W7</f>
        <v>0</v>
      </c>
      <c r="J7" s="32">
        <v>0</v>
      </c>
      <c r="K7" s="32">
        <v>0</v>
      </c>
      <c r="L7" s="29">
        <f t="shared" ref="L7:L15" si="0">E7*0.09+F7*0.09+G7*0.25+H7*0.07+I7*0.2+J7*0.2+K7*0.1</f>
        <v>1.35</v>
      </c>
      <c r="M7" s="10"/>
    </row>
    <row r="8" spans="2:13">
      <c r="B8" s="11">
        <v>3</v>
      </c>
      <c r="C8" s="11">
        <v>1130</v>
      </c>
      <c r="D8" s="10" t="s">
        <v>18</v>
      </c>
      <c r="E8" s="32">
        <v>6</v>
      </c>
      <c r="F8" s="32">
        <v>9.3</v>
      </c>
      <c r="G8" s="32">
        <v>0</v>
      </c>
      <c r="H8" s="32">
        <v>0</v>
      </c>
      <c r="I8" s="32">
        <f>Tareas!W8</f>
        <v>0</v>
      </c>
      <c r="J8" s="32">
        <v>0</v>
      </c>
      <c r="K8" s="32">
        <v>0</v>
      </c>
      <c r="L8" s="29">
        <f t="shared" si="0"/>
        <v>1.377</v>
      </c>
      <c r="M8" s="10"/>
    </row>
    <row r="9" spans="2:13">
      <c r="B9" s="11">
        <v>4</v>
      </c>
      <c r="C9" s="11">
        <v>605</v>
      </c>
      <c r="D9" s="10" t="s">
        <v>19</v>
      </c>
      <c r="E9" s="32">
        <v>6</v>
      </c>
      <c r="F9" s="32">
        <v>6.7</v>
      </c>
      <c r="G9" s="32">
        <v>0</v>
      </c>
      <c r="H9" s="32">
        <v>0</v>
      </c>
      <c r="I9" s="32">
        <f>Tareas!W9</f>
        <v>0</v>
      </c>
      <c r="J9" s="32">
        <v>0</v>
      </c>
      <c r="K9" s="32">
        <v>0</v>
      </c>
      <c r="L9" s="29">
        <f t="shared" si="0"/>
        <v>1.143</v>
      </c>
      <c r="M9" s="10"/>
    </row>
    <row r="10" spans="2:13">
      <c r="B10" s="11">
        <v>5</v>
      </c>
      <c r="C10" s="11">
        <v>612</v>
      </c>
      <c r="D10" s="10" t="s">
        <v>20</v>
      </c>
      <c r="E10" s="32">
        <v>6</v>
      </c>
      <c r="F10" s="32">
        <v>8.7</v>
      </c>
      <c r="G10" s="32">
        <v>0</v>
      </c>
      <c r="H10" s="32">
        <v>0</v>
      </c>
      <c r="I10" s="32">
        <f>Tareas!W10</f>
        <v>0</v>
      </c>
      <c r="J10" s="32">
        <v>0</v>
      </c>
      <c r="K10" s="32">
        <v>0</v>
      </c>
      <c r="L10" s="29">
        <f t="shared" si="0"/>
        <v>1.323</v>
      </c>
      <c r="M10" s="10"/>
    </row>
    <row r="11" spans="2:13">
      <c r="B11" s="11">
        <v>6</v>
      </c>
      <c r="C11" s="11">
        <v>1159</v>
      </c>
      <c r="D11" s="10" t="s">
        <v>21</v>
      </c>
      <c r="E11" s="32">
        <v>7</v>
      </c>
      <c r="F11" s="32">
        <v>7.3</v>
      </c>
      <c r="G11" s="32">
        <v>0</v>
      </c>
      <c r="H11" s="32">
        <v>0</v>
      </c>
      <c r="I11" s="32">
        <f>Tareas!W11</f>
        <v>0</v>
      </c>
      <c r="J11" s="32">
        <v>0</v>
      </c>
      <c r="K11" s="32">
        <v>0</v>
      </c>
      <c r="L11" s="29">
        <f t="shared" si="0"/>
        <v>1.287</v>
      </c>
      <c r="M11" s="10"/>
    </row>
    <row r="12" spans="2:13">
      <c r="B12" s="11">
        <v>7</v>
      </c>
      <c r="C12" s="11">
        <v>1233</v>
      </c>
      <c r="D12" s="10" t="s">
        <v>22</v>
      </c>
      <c r="E12" s="32">
        <v>4</v>
      </c>
      <c r="F12" s="32">
        <v>6.7</v>
      </c>
      <c r="G12" s="32">
        <v>0</v>
      </c>
      <c r="H12" s="32">
        <v>0</v>
      </c>
      <c r="I12" s="32">
        <f>Tareas!W12</f>
        <v>0</v>
      </c>
      <c r="J12" s="32">
        <v>0</v>
      </c>
      <c r="K12" s="32">
        <v>0</v>
      </c>
      <c r="L12" s="29">
        <f t="shared" si="0"/>
        <v>0.963</v>
      </c>
      <c r="M12" s="10"/>
    </row>
    <row r="13" spans="2:13">
      <c r="B13" s="11">
        <v>8</v>
      </c>
      <c r="C13" s="11">
        <v>1168</v>
      </c>
      <c r="D13" s="10" t="s">
        <v>23</v>
      </c>
      <c r="E13" s="32">
        <v>4</v>
      </c>
      <c r="F13" s="32">
        <v>6.7</v>
      </c>
      <c r="G13" s="32">
        <v>0</v>
      </c>
      <c r="H13" s="32">
        <v>0</v>
      </c>
      <c r="I13" s="32">
        <f>Tareas!W13</f>
        <v>0</v>
      </c>
      <c r="J13" s="32">
        <v>0</v>
      </c>
      <c r="K13" s="32">
        <v>0</v>
      </c>
      <c r="L13" s="29">
        <f t="shared" si="0"/>
        <v>0.963</v>
      </c>
      <c r="M13" s="10"/>
    </row>
    <row r="14" spans="2:13">
      <c r="B14" s="11">
        <v>9</v>
      </c>
      <c r="C14" s="11">
        <v>1150</v>
      </c>
      <c r="D14" s="10" t="s">
        <v>24</v>
      </c>
      <c r="E14" s="32">
        <v>5</v>
      </c>
      <c r="F14" s="32">
        <v>5.3</v>
      </c>
      <c r="G14" s="32">
        <v>0</v>
      </c>
      <c r="H14" s="32">
        <v>0</v>
      </c>
      <c r="I14" s="32">
        <f>Tareas!W14</f>
        <v>0</v>
      </c>
      <c r="J14" s="32">
        <v>0</v>
      </c>
      <c r="K14" s="32">
        <v>0</v>
      </c>
      <c r="L14" s="29">
        <f t="shared" si="0"/>
        <v>0.927</v>
      </c>
      <c r="M14" s="10"/>
    </row>
    <row r="15" spans="2:13">
      <c r="B15" s="11">
        <v>10</v>
      </c>
      <c r="C15" s="11">
        <v>1184</v>
      </c>
      <c r="D15" s="10" t="s">
        <v>25</v>
      </c>
      <c r="E15" s="32">
        <v>7</v>
      </c>
      <c r="F15" s="32">
        <v>8</v>
      </c>
      <c r="G15" s="32">
        <v>0</v>
      </c>
      <c r="H15" s="32">
        <v>0</v>
      </c>
      <c r="I15" s="32">
        <f>Tareas!W15</f>
        <v>0</v>
      </c>
      <c r="J15" s="32">
        <v>0</v>
      </c>
      <c r="K15" s="32">
        <v>0</v>
      </c>
      <c r="L15" s="29">
        <f t="shared" si="0"/>
        <v>1.35</v>
      </c>
      <c r="M15" s="10"/>
    </row>
    <row r="16" spans="2:13">
      <c r="B16" s="11">
        <v>11</v>
      </c>
      <c r="C16" s="11">
        <v>1270</v>
      </c>
      <c r="D16" s="10" t="s">
        <v>26</v>
      </c>
      <c r="E16" s="32">
        <v>5</v>
      </c>
      <c r="F16" s="32">
        <v>7.6</v>
      </c>
      <c r="G16" s="32">
        <v>0</v>
      </c>
      <c r="H16" s="32">
        <v>0</v>
      </c>
      <c r="I16" s="32">
        <f>Tareas!W16</f>
        <v>0</v>
      </c>
      <c r="J16" s="32">
        <v>0</v>
      </c>
      <c r="K16" s="32">
        <v>0</v>
      </c>
      <c r="L16" s="29">
        <f t="shared" ref="L16" si="1">E16*0.09+F16*0.09+G16*0.25+H16*0.07+I16*0.2+J16*0.2+K16*0.1</f>
        <v>1.134</v>
      </c>
      <c r="M16" s="10"/>
    </row>
    <row r="17" spans="2:13">
      <c r="B17" s="11">
        <v>12</v>
      </c>
      <c r="C17" s="11">
        <v>1199</v>
      </c>
      <c r="D17" s="10" t="s">
        <v>27</v>
      </c>
      <c r="E17" s="32">
        <v>5</v>
      </c>
      <c r="F17" s="32">
        <v>6.7</v>
      </c>
      <c r="G17" s="32">
        <v>0</v>
      </c>
      <c r="H17" s="32">
        <v>0</v>
      </c>
      <c r="I17" s="32">
        <f>Tareas!W17</f>
        <v>0</v>
      </c>
      <c r="J17" s="32">
        <v>0</v>
      </c>
      <c r="K17" s="32">
        <v>0</v>
      </c>
      <c r="L17" s="29">
        <f t="shared" ref="L17:L36" si="2">E17*0.09+F17*0.09+G17*0.25+H17*0.07+I17*0.2+J17*0.2+K17*0.1</f>
        <v>1.053</v>
      </c>
      <c r="M17" s="10"/>
    </row>
    <row r="18" spans="2:13">
      <c r="B18" s="11">
        <v>13</v>
      </c>
      <c r="C18" s="11" t="s">
        <v>28</v>
      </c>
      <c r="D18" s="10" t="s">
        <v>29</v>
      </c>
      <c r="E18" s="32">
        <v>7</v>
      </c>
      <c r="F18" s="32">
        <v>8.7</v>
      </c>
      <c r="G18" s="32">
        <v>0</v>
      </c>
      <c r="H18" s="32">
        <v>0</v>
      </c>
      <c r="I18" s="32">
        <f>Tareas!W18</f>
        <v>0</v>
      </c>
      <c r="J18" s="32">
        <v>0</v>
      </c>
      <c r="K18" s="32">
        <v>0</v>
      </c>
      <c r="L18" s="29">
        <f t="shared" si="2"/>
        <v>1.413</v>
      </c>
      <c r="M18" s="10"/>
    </row>
    <row r="19" spans="2:13">
      <c r="B19" s="11">
        <v>14</v>
      </c>
      <c r="C19" s="11">
        <v>1246</v>
      </c>
      <c r="D19" s="10" t="s">
        <v>30</v>
      </c>
      <c r="E19" s="32">
        <v>5</v>
      </c>
      <c r="F19" s="32">
        <v>4.7</v>
      </c>
      <c r="G19" s="32">
        <v>0</v>
      </c>
      <c r="H19" s="32">
        <v>0</v>
      </c>
      <c r="I19" s="32">
        <f>Tareas!W19</f>
        <v>0</v>
      </c>
      <c r="J19" s="32">
        <v>0</v>
      </c>
      <c r="K19" s="32">
        <v>0</v>
      </c>
      <c r="L19" s="29">
        <f t="shared" si="2"/>
        <v>0.873</v>
      </c>
      <c r="M19" s="10"/>
    </row>
    <row r="20" spans="2:13">
      <c r="B20" s="11">
        <v>15</v>
      </c>
      <c r="C20" s="11">
        <v>1156</v>
      </c>
      <c r="D20" s="10" t="s">
        <v>31</v>
      </c>
      <c r="E20" s="32">
        <v>3</v>
      </c>
      <c r="F20" s="32">
        <v>6.7</v>
      </c>
      <c r="G20" s="32">
        <v>0</v>
      </c>
      <c r="H20" s="32">
        <v>0</v>
      </c>
      <c r="I20" s="32">
        <f>Tareas!W20</f>
        <v>0</v>
      </c>
      <c r="J20" s="32">
        <v>0</v>
      </c>
      <c r="K20" s="32">
        <v>0</v>
      </c>
      <c r="L20" s="29">
        <f t="shared" si="2"/>
        <v>0.873</v>
      </c>
      <c r="M20" s="10"/>
    </row>
    <row r="21" spans="2:13">
      <c r="B21" s="11">
        <v>16</v>
      </c>
      <c r="C21" s="11">
        <v>1187</v>
      </c>
      <c r="D21" s="10" t="s">
        <v>32</v>
      </c>
      <c r="E21" s="32">
        <v>6</v>
      </c>
      <c r="F21" s="32">
        <v>4.7</v>
      </c>
      <c r="G21" s="32">
        <v>0</v>
      </c>
      <c r="H21" s="32">
        <v>0</v>
      </c>
      <c r="I21" s="32">
        <f>Tareas!W21</f>
        <v>0</v>
      </c>
      <c r="J21" s="32">
        <v>0</v>
      </c>
      <c r="K21" s="32">
        <v>0</v>
      </c>
      <c r="L21" s="29">
        <f t="shared" si="2"/>
        <v>0.963</v>
      </c>
      <c r="M21" s="10"/>
    </row>
    <row r="22" spans="2:13">
      <c r="B22" s="11">
        <v>17</v>
      </c>
      <c r="C22" s="11">
        <v>1202</v>
      </c>
      <c r="D22" s="10" t="s">
        <v>33</v>
      </c>
      <c r="E22" s="32">
        <v>5</v>
      </c>
      <c r="F22" s="32">
        <v>9.3</v>
      </c>
      <c r="G22" s="32">
        <v>0</v>
      </c>
      <c r="H22" s="32">
        <v>0</v>
      </c>
      <c r="I22" s="32">
        <f>Tareas!W22</f>
        <v>0</v>
      </c>
      <c r="J22" s="32">
        <v>0</v>
      </c>
      <c r="K22" s="32">
        <v>0</v>
      </c>
      <c r="L22" s="29">
        <f t="shared" si="2"/>
        <v>1.287</v>
      </c>
      <c r="M22" s="10"/>
    </row>
    <row r="23" spans="2:13">
      <c r="B23" s="11">
        <v>18</v>
      </c>
      <c r="C23" s="11">
        <v>1147</v>
      </c>
      <c r="D23" s="10" t="s">
        <v>34</v>
      </c>
      <c r="E23" s="32">
        <v>6</v>
      </c>
      <c r="F23" s="32">
        <v>4</v>
      </c>
      <c r="G23" s="32">
        <v>0</v>
      </c>
      <c r="H23" s="32">
        <v>0</v>
      </c>
      <c r="I23" s="32">
        <f>Tareas!W23</f>
        <v>0</v>
      </c>
      <c r="J23" s="32">
        <v>0</v>
      </c>
      <c r="K23" s="32">
        <v>0</v>
      </c>
      <c r="L23" s="29">
        <f t="shared" si="2"/>
        <v>0.9</v>
      </c>
      <c r="M23" s="10"/>
    </row>
    <row r="24" spans="2:13">
      <c r="B24" s="11">
        <v>19</v>
      </c>
      <c r="C24" s="11">
        <v>1193</v>
      </c>
      <c r="D24" s="10" t="s">
        <v>35</v>
      </c>
      <c r="E24" s="32">
        <v>2</v>
      </c>
      <c r="F24" s="32">
        <v>8.7</v>
      </c>
      <c r="G24" s="32">
        <v>0</v>
      </c>
      <c r="H24" s="32">
        <v>0</v>
      </c>
      <c r="I24" s="32">
        <f>Tareas!W24</f>
        <v>0</v>
      </c>
      <c r="J24" s="32">
        <v>0</v>
      </c>
      <c r="K24" s="32">
        <v>0</v>
      </c>
      <c r="L24" s="29">
        <f t="shared" si="2"/>
        <v>0.963</v>
      </c>
      <c r="M24" s="10"/>
    </row>
    <row r="25" spans="2:13">
      <c r="B25" s="11">
        <v>20</v>
      </c>
      <c r="C25" s="11">
        <v>1209</v>
      </c>
      <c r="D25" s="10" t="s">
        <v>36</v>
      </c>
      <c r="E25" s="32">
        <v>6</v>
      </c>
      <c r="F25" s="32">
        <v>8</v>
      </c>
      <c r="G25" s="32">
        <v>0</v>
      </c>
      <c r="H25" s="32">
        <v>0</v>
      </c>
      <c r="I25" s="32">
        <f>Tareas!W25</f>
        <v>0</v>
      </c>
      <c r="J25" s="32">
        <v>0</v>
      </c>
      <c r="K25" s="32">
        <v>0</v>
      </c>
      <c r="L25" s="29">
        <f t="shared" si="2"/>
        <v>1.26</v>
      </c>
      <c r="M25" s="10"/>
    </row>
    <row r="26" spans="2:13">
      <c r="B26" s="11">
        <v>21</v>
      </c>
      <c r="C26" s="11">
        <v>1153</v>
      </c>
      <c r="D26" s="10" t="s">
        <v>37</v>
      </c>
      <c r="E26" s="32">
        <v>5</v>
      </c>
      <c r="F26" s="32">
        <v>10</v>
      </c>
      <c r="G26" s="32">
        <v>0</v>
      </c>
      <c r="H26" s="32">
        <v>0</v>
      </c>
      <c r="I26" s="32">
        <f>Tareas!W26</f>
        <v>0</v>
      </c>
      <c r="J26" s="32">
        <v>0</v>
      </c>
      <c r="K26" s="32">
        <v>0</v>
      </c>
      <c r="L26" s="29">
        <f t="shared" si="2"/>
        <v>1.35</v>
      </c>
      <c r="M26" s="10"/>
    </row>
    <row r="27" spans="2:13">
      <c r="B27" s="11">
        <v>22</v>
      </c>
      <c r="C27" s="11">
        <v>1068</v>
      </c>
      <c r="D27" s="10" t="s">
        <v>38</v>
      </c>
      <c r="E27" s="32">
        <v>5</v>
      </c>
      <c r="F27" s="33">
        <v>0</v>
      </c>
      <c r="G27" s="32">
        <v>0</v>
      </c>
      <c r="H27" s="32">
        <v>0</v>
      </c>
      <c r="I27" s="32">
        <f>Tareas!W27</f>
        <v>0</v>
      </c>
      <c r="J27" s="32">
        <v>0</v>
      </c>
      <c r="K27" s="32">
        <v>0</v>
      </c>
      <c r="L27" s="29">
        <f t="shared" si="2"/>
        <v>0.45</v>
      </c>
      <c r="M27" s="10"/>
    </row>
    <row r="28" spans="2:13">
      <c r="B28" s="11">
        <v>23</v>
      </c>
      <c r="C28" s="11">
        <v>1244</v>
      </c>
      <c r="D28" s="10" t="s">
        <v>39</v>
      </c>
      <c r="E28" s="32">
        <v>4</v>
      </c>
      <c r="F28" s="32">
        <v>6.7</v>
      </c>
      <c r="G28" s="32">
        <v>0</v>
      </c>
      <c r="H28" s="32">
        <v>0</v>
      </c>
      <c r="I28" s="32">
        <f>Tareas!W28</f>
        <v>0</v>
      </c>
      <c r="J28" s="32">
        <v>0</v>
      </c>
      <c r="K28" s="32">
        <v>0</v>
      </c>
      <c r="L28" s="29">
        <f t="shared" si="2"/>
        <v>0.963</v>
      </c>
      <c r="M28" s="10"/>
    </row>
    <row r="29" spans="2:13">
      <c r="B29" s="11">
        <v>24</v>
      </c>
      <c r="C29" s="11">
        <v>719</v>
      </c>
      <c r="D29" s="10" t="s">
        <v>40</v>
      </c>
      <c r="E29" s="32">
        <v>2</v>
      </c>
      <c r="F29" s="32">
        <v>2</v>
      </c>
      <c r="G29" s="32">
        <v>0</v>
      </c>
      <c r="H29" s="32">
        <v>0</v>
      </c>
      <c r="I29" s="32">
        <f>Tareas!W29</f>
        <v>0</v>
      </c>
      <c r="J29" s="32">
        <v>0</v>
      </c>
      <c r="K29" s="32">
        <v>0</v>
      </c>
      <c r="L29" s="29">
        <f t="shared" si="2"/>
        <v>0.36</v>
      </c>
      <c r="M29" s="10"/>
    </row>
    <row r="30" spans="2:13">
      <c r="B30" s="11">
        <v>25</v>
      </c>
      <c r="C30" s="11">
        <v>1259</v>
      </c>
      <c r="D30" s="10" t="s">
        <v>41</v>
      </c>
      <c r="E30" s="32">
        <v>2</v>
      </c>
      <c r="F30" s="32">
        <v>3.3</v>
      </c>
      <c r="G30" s="32">
        <v>0</v>
      </c>
      <c r="H30" s="32">
        <v>0</v>
      </c>
      <c r="I30" s="32">
        <f>Tareas!W30</f>
        <v>0</v>
      </c>
      <c r="J30" s="32">
        <v>0</v>
      </c>
      <c r="K30" s="32">
        <v>0</v>
      </c>
      <c r="L30" s="29">
        <f t="shared" si="2"/>
        <v>0.477</v>
      </c>
      <c r="M30" s="10"/>
    </row>
    <row r="31" spans="2:13">
      <c r="B31" s="11">
        <v>26</v>
      </c>
      <c r="C31" s="11">
        <v>1267</v>
      </c>
      <c r="D31" s="10" t="s">
        <v>42</v>
      </c>
      <c r="E31" s="32">
        <v>6</v>
      </c>
      <c r="F31" s="32">
        <v>8.7</v>
      </c>
      <c r="G31" s="32">
        <v>0</v>
      </c>
      <c r="H31" s="32">
        <v>0</v>
      </c>
      <c r="I31" s="32">
        <f>Tareas!W31</f>
        <v>0</v>
      </c>
      <c r="J31" s="32">
        <v>0</v>
      </c>
      <c r="K31" s="32">
        <v>0</v>
      </c>
      <c r="L31" s="29">
        <f t="shared" si="2"/>
        <v>1.323</v>
      </c>
      <c r="M31" s="10"/>
    </row>
    <row r="32" spans="2:13">
      <c r="B32" s="11">
        <v>27</v>
      </c>
      <c r="C32" s="11">
        <v>1206</v>
      </c>
      <c r="D32" s="10" t="s">
        <v>43</v>
      </c>
      <c r="E32" s="32">
        <v>6</v>
      </c>
      <c r="F32" s="32">
        <v>10</v>
      </c>
      <c r="G32" s="32">
        <v>0</v>
      </c>
      <c r="H32" s="32">
        <v>0</v>
      </c>
      <c r="I32" s="32">
        <f>Tareas!W32</f>
        <v>0</v>
      </c>
      <c r="J32" s="32">
        <v>0</v>
      </c>
      <c r="K32" s="32">
        <v>0</v>
      </c>
      <c r="L32" s="29">
        <f t="shared" si="2"/>
        <v>1.44</v>
      </c>
      <c r="M32" s="10"/>
    </row>
    <row r="33" spans="2:13">
      <c r="B33" s="11">
        <v>28</v>
      </c>
      <c r="C33" s="11">
        <v>1144</v>
      </c>
      <c r="D33" s="10" t="s">
        <v>44</v>
      </c>
      <c r="E33" s="32">
        <v>7</v>
      </c>
      <c r="F33" s="32">
        <v>6.7</v>
      </c>
      <c r="G33" s="32">
        <v>0</v>
      </c>
      <c r="H33" s="32">
        <v>0</v>
      </c>
      <c r="I33" s="32">
        <f>Tareas!W33</f>
        <v>0</v>
      </c>
      <c r="J33" s="32">
        <v>0</v>
      </c>
      <c r="K33" s="32">
        <v>0</v>
      </c>
      <c r="L33" s="29">
        <f t="shared" si="2"/>
        <v>1.233</v>
      </c>
      <c r="M33" s="10"/>
    </row>
    <row r="34" spans="2:13">
      <c r="B34" s="11">
        <v>29</v>
      </c>
      <c r="C34" s="11">
        <v>1137</v>
      </c>
      <c r="D34" s="10" t="s">
        <v>45</v>
      </c>
      <c r="E34" s="33">
        <v>0</v>
      </c>
      <c r="F34" s="33">
        <v>0</v>
      </c>
      <c r="G34" s="32">
        <v>0</v>
      </c>
      <c r="H34" s="32">
        <v>0</v>
      </c>
      <c r="I34" s="32">
        <f>Tareas!W34</f>
        <v>0</v>
      </c>
      <c r="J34" s="32">
        <v>0</v>
      </c>
      <c r="K34" s="32">
        <v>0</v>
      </c>
      <c r="L34" s="29">
        <f t="shared" si="2"/>
        <v>0</v>
      </c>
      <c r="M34" s="10"/>
    </row>
    <row r="35" spans="2:13">
      <c r="B35" s="11">
        <v>30</v>
      </c>
      <c r="C35" s="11">
        <v>1216</v>
      </c>
      <c r="D35" s="10" t="s">
        <v>46</v>
      </c>
      <c r="E35" s="32">
        <v>7</v>
      </c>
      <c r="F35" s="32">
        <v>10</v>
      </c>
      <c r="G35" s="32">
        <v>0</v>
      </c>
      <c r="H35" s="32">
        <v>0</v>
      </c>
      <c r="I35" s="32">
        <f>Tareas!W35</f>
        <v>0</v>
      </c>
      <c r="J35" s="32">
        <v>0</v>
      </c>
      <c r="K35" s="32">
        <v>0</v>
      </c>
      <c r="L35" s="29">
        <f t="shared" si="2"/>
        <v>1.53</v>
      </c>
      <c r="M35" s="10"/>
    </row>
    <row r="36" spans="2:13">
      <c r="B36" s="11">
        <v>31</v>
      </c>
      <c r="C36" s="11">
        <v>1254</v>
      </c>
      <c r="D36" s="10" t="s">
        <v>47</v>
      </c>
      <c r="E36" s="32">
        <v>8</v>
      </c>
      <c r="F36" s="32">
        <v>8</v>
      </c>
      <c r="G36" s="32">
        <v>0</v>
      </c>
      <c r="H36" s="32">
        <v>0</v>
      </c>
      <c r="I36" s="32">
        <f>Tareas!W36</f>
        <v>0</v>
      </c>
      <c r="J36" s="32">
        <v>0</v>
      </c>
      <c r="K36" s="32">
        <v>0</v>
      </c>
      <c r="L36" s="29">
        <f t="shared" si="2"/>
        <v>1.44</v>
      </c>
      <c r="M36" s="10"/>
    </row>
    <row r="37" spans="2:13">
      <c r="B37" s="34" t="s">
        <v>48</v>
      </c>
      <c r="C37" s="35"/>
      <c r="D37" s="36"/>
      <c r="E37" s="37">
        <f>AVERAGE(E6:E36)</f>
        <v>5.06451612903226</v>
      </c>
      <c r="F37" s="37">
        <f>AVERAGE(F6:F36)</f>
        <v>6.7258064516129</v>
      </c>
      <c r="G37" s="37">
        <f t="shared" ref="G37:L37" si="3">AVERAGE(G6:G36)</f>
        <v>0</v>
      </c>
      <c r="H37" s="37">
        <f t="shared" si="3"/>
        <v>0</v>
      </c>
      <c r="I37" s="37">
        <f t="shared" si="3"/>
        <v>0</v>
      </c>
      <c r="J37" s="37">
        <f t="shared" si="3"/>
        <v>0</v>
      </c>
      <c r="K37" s="37">
        <f t="shared" si="3"/>
        <v>0</v>
      </c>
      <c r="L37" s="37">
        <f t="shared" si="3"/>
        <v>1.06112903225806</v>
      </c>
      <c r="M37" s="38"/>
    </row>
  </sheetData>
  <mergeCells count="3">
    <mergeCell ref="B2:D2"/>
    <mergeCell ref="E2:M2"/>
    <mergeCell ref="B37:D37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W36"/>
  <sheetViews>
    <sheetView zoomScale="85" zoomScaleNormal="85" topLeftCell="A3" workbookViewId="0">
      <selection activeCell="Z3" sqref="Z3"/>
    </sheetView>
  </sheetViews>
  <sheetFormatPr defaultColWidth="9.125" defaultRowHeight="13.8"/>
  <cols>
    <col min="3" max="3" width="12.625" customWidth="1"/>
    <col min="4" max="4" width="40.5833333333333" customWidth="1"/>
    <col min="5" max="5" width="7.875" customWidth="1"/>
    <col min="6" max="6" width="5.625" customWidth="1"/>
    <col min="7" max="7" width="8.875" customWidth="1"/>
    <col min="8" max="13" width="6.625" customWidth="1"/>
    <col min="14" max="14" width="6.375" customWidth="1"/>
    <col min="15" max="15" width="8.625" customWidth="1"/>
    <col min="16" max="17" width="6.625" customWidth="1"/>
    <col min="18" max="18" width="7.125" customWidth="1"/>
    <col min="19" max="19" width="6.75" customWidth="1"/>
    <col min="20" max="22" width="6.625" customWidth="1"/>
    <col min="23" max="23" width="10.25" customWidth="1"/>
  </cols>
  <sheetData>
    <row r="2" spans="2:23">
      <c r="B2" s="20" t="s">
        <v>0</v>
      </c>
      <c r="C2" s="20"/>
      <c r="D2" s="20"/>
      <c r="E2" s="20" t="s">
        <v>49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ht="174.75" customHeight="1" spans="2:23">
      <c r="B3" s="21"/>
      <c r="C3" s="21"/>
      <c r="D3" s="22" t="s">
        <v>50</v>
      </c>
      <c r="E3" s="23" t="s">
        <v>51</v>
      </c>
      <c r="F3" s="23" t="s">
        <v>52</v>
      </c>
      <c r="G3" s="23" t="s">
        <v>53</v>
      </c>
      <c r="H3" s="23" t="s">
        <v>54</v>
      </c>
      <c r="I3" s="23" t="s">
        <v>55</v>
      </c>
      <c r="J3" s="23" t="s">
        <v>56</v>
      </c>
      <c r="K3" s="23" t="s">
        <v>57</v>
      </c>
      <c r="L3" s="23" t="s">
        <v>58</v>
      </c>
      <c r="M3" s="23" t="s">
        <v>59</v>
      </c>
      <c r="N3" s="23" t="s">
        <v>60</v>
      </c>
      <c r="O3" s="23" t="s">
        <v>61</v>
      </c>
      <c r="P3" s="23" t="s">
        <v>62</v>
      </c>
      <c r="Q3" s="23" t="s">
        <v>63</v>
      </c>
      <c r="R3" s="23" t="s">
        <v>64</v>
      </c>
      <c r="S3" s="23" t="s">
        <v>65</v>
      </c>
      <c r="T3" s="23" t="s">
        <v>66</v>
      </c>
      <c r="U3" s="23" t="s">
        <v>67</v>
      </c>
      <c r="V3" s="23" t="s">
        <v>68</v>
      </c>
      <c r="W3" s="28"/>
    </row>
    <row r="4" spans="2:23">
      <c r="B4" s="21"/>
      <c r="C4" s="21"/>
      <c r="D4" s="22"/>
      <c r="E4" s="21">
        <v>1</v>
      </c>
      <c r="F4" s="21">
        <v>2</v>
      </c>
      <c r="G4" s="21">
        <v>3</v>
      </c>
      <c r="H4" s="21">
        <v>4</v>
      </c>
      <c r="I4" s="21">
        <v>5</v>
      </c>
      <c r="J4" s="21">
        <v>6</v>
      </c>
      <c r="K4" s="21">
        <v>7</v>
      </c>
      <c r="L4" s="21">
        <v>8</v>
      </c>
      <c r="M4" s="21">
        <v>9</v>
      </c>
      <c r="N4" s="21">
        <v>10</v>
      </c>
      <c r="O4" s="21">
        <v>11</v>
      </c>
      <c r="P4" s="21">
        <v>12</v>
      </c>
      <c r="Q4" s="21">
        <v>13</v>
      </c>
      <c r="R4" s="21">
        <v>14</v>
      </c>
      <c r="S4" s="21">
        <v>15</v>
      </c>
      <c r="T4" s="21">
        <v>16</v>
      </c>
      <c r="U4" s="21">
        <v>17</v>
      </c>
      <c r="V4" s="21">
        <v>18</v>
      </c>
      <c r="W4" s="28" t="s">
        <v>10</v>
      </c>
    </row>
    <row r="5" spans="2:23">
      <c r="B5" s="8" t="s">
        <v>13</v>
      </c>
      <c r="C5" s="8" t="s">
        <v>14</v>
      </c>
      <c r="D5" s="9" t="s">
        <v>15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8"/>
    </row>
    <row r="6" spans="2:23">
      <c r="B6" s="25">
        <v>1</v>
      </c>
      <c r="C6" s="26">
        <v>1261</v>
      </c>
      <c r="D6" s="25" t="s">
        <v>69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9">
        <f t="shared" ref="W6:W36" si="0">AVERAGE(E6:V6)</f>
        <v>0</v>
      </c>
    </row>
    <row r="7" spans="2:23">
      <c r="B7" s="25">
        <v>2</v>
      </c>
      <c r="C7" s="26">
        <v>1249</v>
      </c>
      <c r="D7" s="25" t="s">
        <v>70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9">
        <f t="shared" si="0"/>
        <v>0</v>
      </c>
    </row>
    <row r="8" spans="2:23">
      <c r="B8" s="25">
        <v>3</v>
      </c>
      <c r="C8" s="26">
        <v>1130</v>
      </c>
      <c r="D8" s="25" t="s">
        <v>71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9">
        <f t="shared" si="0"/>
        <v>0</v>
      </c>
    </row>
    <row r="9" spans="2:23">
      <c r="B9" s="25">
        <v>4</v>
      </c>
      <c r="C9" s="26">
        <v>605</v>
      </c>
      <c r="D9" s="25" t="s">
        <v>72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9">
        <f t="shared" si="0"/>
        <v>0</v>
      </c>
    </row>
    <row r="10" spans="2:23">
      <c r="B10" s="25">
        <v>5</v>
      </c>
      <c r="C10" s="26">
        <v>612</v>
      </c>
      <c r="D10" s="25" t="s">
        <v>73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W10" s="29">
        <f t="shared" si="0"/>
        <v>0</v>
      </c>
    </row>
    <row r="11" spans="2:23">
      <c r="B11" s="25">
        <v>6</v>
      </c>
      <c r="C11" s="26">
        <v>1159</v>
      </c>
      <c r="D11" s="25" t="s">
        <v>74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  <c r="V11" s="27">
        <v>0</v>
      </c>
      <c r="W11" s="29">
        <f t="shared" si="0"/>
        <v>0</v>
      </c>
    </row>
    <row r="12" spans="2:23">
      <c r="B12" s="25">
        <v>7</v>
      </c>
      <c r="C12" s="26">
        <v>1233</v>
      </c>
      <c r="D12" s="25" t="s">
        <v>75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27">
        <v>0</v>
      </c>
      <c r="Q12" s="27">
        <v>0</v>
      </c>
      <c r="R12" s="27">
        <v>0</v>
      </c>
      <c r="S12" s="27">
        <v>0</v>
      </c>
      <c r="T12" s="27">
        <v>0</v>
      </c>
      <c r="U12" s="27">
        <v>0</v>
      </c>
      <c r="V12" s="27">
        <v>0</v>
      </c>
      <c r="W12" s="29">
        <f t="shared" si="0"/>
        <v>0</v>
      </c>
    </row>
    <row r="13" spans="2:23">
      <c r="B13" s="25">
        <v>8</v>
      </c>
      <c r="C13" s="26">
        <v>1168</v>
      </c>
      <c r="D13" s="25" t="s">
        <v>76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27">
        <v>0</v>
      </c>
      <c r="V13" s="27">
        <v>0</v>
      </c>
      <c r="W13" s="29">
        <f t="shared" si="0"/>
        <v>0</v>
      </c>
    </row>
    <row r="14" spans="2:23">
      <c r="B14" s="25">
        <v>9</v>
      </c>
      <c r="C14" s="26">
        <v>1150</v>
      </c>
      <c r="D14" s="25" t="s">
        <v>77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9">
        <f t="shared" si="0"/>
        <v>0</v>
      </c>
    </row>
    <row r="15" spans="2:23">
      <c r="B15" s="25">
        <v>10</v>
      </c>
      <c r="C15" s="26">
        <v>1184</v>
      </c>
      <c r="D15" s="25" t="s">
        <v>78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27">
        <v>0</v>
      </c>
      <c r="W15" s="29">
        <f t="shared" si="0"/>
        <v>0</v>
      </c>
    </row>
    <row r="16" spans="2:23">
      <c r="B16" s="25">
        <v>11</v>
      </c>
      <c r="C16" s="26">
        <v>1270</v>
      </c>
      <c r="D16" s="25" t="s">
        <v>79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9">
        <f t="shared" si="0"/>
        <v>0</v>
      </c>
    </row>
    <row r="17" spans="2:23">
      <c r="B17" s="25">
        <v>12</v>
      </c>
      <c r="C17" s="26">
        <v>1199</v>
      </c>
      <c r="D17" s="25" t="s">
        <v>80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  <c r="W17" s="29">
        <f t="shared" si="0"/>
        <v>0</v>
      </c>
    </row>
    <row r="18" spans="2:23">
      <c r="B18" s="25">
        <v>13</v>
      </c>
      <c r="C18" s="26" t="s">
        <v>28</v>
      </c>
      <c r="D18" s="25" t="s">
        <v>81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  <c r="W18" s="29">
        <f t="shared" si="0"/>
        <v>0</v>
      </c>
    </row>
    <row r="19" spans="2:23">
      <c r="B19" s="25">
        <v>14</v>
      </c>
      <c r="C19" s="26">
        <v>1246</v>
      </c>
      <c r="D19" s="25" t="s">
        <v>82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  <c r="V19" s="27">
        <v>0</v>
      </c>
      <c r="W19" s="29">
        <f t="shared" si="0"/>
        <v>0</v>
      </c>
    </row>
    <row r="20" spans="2:23">
      <c r="B20" s="25">
        <v>15</v>
      </c>
      <c r="C20" s="26">
        <v>1156</v>
      </c>
      <c r="D20" s="25" t="s">
        <v>83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  <c r="V20" s="27">
        <v>0</v>
      </c>
      <c r="W20" s="29">
        <f t="shared" si="0"/>
        <v>0</v>
      </c>
    </row>
    <row r="21" spans="2:23">
      <c r="B21" s="25">
        <v>16</v>
      </c>
      <c r="C21" s="26">
        <v>1187</v>
      </c>
      <c r="D21" s="25" t="s">
        <v>84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  <c r="V21" s="27">
        <v>0</v>
      </c>
      <c r="W21" s="29">
        <f t="shared" si="0"/>
        <v>0</v>
      </c>
    </row>
    <row r="22" spans="2:23">
      <c r="B22" s="25">
        <v>17</v>
      </c>
      <c r="C22" s="26">
        <v>1202</v>
      </c>
      <c r="D22" s="25" t="s">
        <v>85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  <c r="W22" s="29">
        <f t="shared" si="0"/>
        <v>0</v>
      </c>
    </row>
    <row r="23" spans="2:23">
      <c r="B23" s="25">
        <v>18</v>
      </c>
      <c r="C23" s="26">
        <v>1147</v>
      </c>
      <c r="D23" s="25" t="s">
        <v>86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9">
        <f t="shared" si="0"/>
        <v>0</v>
      </c>
    </row>
    <row r="24" spans="2:23">
      <c r="B24" s="25">
        <v>19</v>
      </c>
      <c r="C24" s="26">
        <v>1193</v>
      </c>
      <c r="D24" s="25" t="s">
        <v>87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  <c r="V24" s="27">
        <v>0</v>
      </c>
      <c r="W24" s="29">
        <f t="shared" si="0"/>
        <v>0</v>
      </c>
    </row>
    <row r="25" spans="2:23">
      <c r="B25" s="25">
        <v>20</v>
      </c>
      <c r="C25" s="26">
        <v>1209</v>
      </c>
      <c r="D25" s="25" t="s">
        <v>88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9">
        <f t="shared" si="0"/>
        <v>0</v>
      </c>
    </row>
    <row r="26" spans="2:23">
      <c r="B26" s="25">
        <v>21</v>
      </c>
      <c r="C26" s="26">
        <v>1153</v>
      </c>
      <c r="D26" s="25" t="s">
        <v>89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  <c r="V26" s="27">
        <v>0</v>
      </c>
      <c r="W26" s="29">
        <f t="shared" si="0"/>
        <v>0</v>
      </c>
    </row>
    <row r="27" spans="2:23">
      <c r="B27" s="25">
        <v>22</v>
      </c>
      <c r="C27" s="26">
        <v>1068</v>
      </c>
      <c r="D27" s="25" t="s">
        <v>90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9">
        <f t="shared" si="0"/>
        <v>0</v>
      </c>
    </row>
    <row r="28" spans="2:23">
      <c r="B28" s="25">
        <v>23</v>
      </c>
      <c r="C28" s="26">
        <v>1244</v>
      </c>
      <c r="D28" s="25" t="s">
        <v>91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9">
        <f t="shared" si="0"/>
        <v>0</v>
      </c>
    </row>
    <row r="29" spans="2:23">
      <c r="B29" s="25">
        <v>24</v>
      </c>
      <c r="C29" s="26">
        <v>719</v>
      </c>
      <c r="D29" s="25" t="s">
        <v>92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9">
        <f t="shared" si="0"/>
        <v>0</v>
      </c>
    </row>
    <row r="30" spans="2:23">
      <c r="B30" s="25">
        <v>25</v>
      </c>
      <c r="C30" s="26">
        <v>1259</v>
      </c>
      <c r="D30" s="25" t="s">
        <v>93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9">
        <f t="shared" si="0"/>
        <v>0</v>
      </c>
    </row>
    <row r="31" spans="2:23">
      <c r="B31" s="25">
        <v>26</v>
      </c>
      <c r="C31" s="26">
        <v>1267</v>
      </c>
      <c r="D31" s="25" t="s">
        <v>94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  <c r="V31" s="27">
        <v>0</v>
      </c>
      <c r="W31" s="29">
        <f t="shared" si="0"/>
        <v>0</v>
      </c>
    </row>
    <row r="32" spans="2:23">
      <c r="B32" s="25">
        <v>27</v>
      </c>
      <c r="C32" s="26">
        <v>1206</v>
      </c>
      <c r="D32" s="25" t="s">
        <v>95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  <c r="V32" s="27">
        <v>0</v>
      </c>
      <c r="W32" s="29">
        <f t="shared" si="0"/>
        <v>0</v>
      </c>
    </row>
    <row r="33" spans="2:23">
      <c r="B33" s="25">
        <v>28</v>
      </c>
      <c r="C33" s="26">
        <v>1144</v>
      </c>
      <c r="D33" s="25" t="s">
        <v>96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9">
        <f t="shared" si="0"/>
        <v>0</v>
      </c>
    </row>
    <row r="34" spans="2:23">
      <c r="B34" s="25">
        <v>29</v>
      </c>
      <c r="C34" s="26">
        <v>1137</v>
      </c>
      <c r="D34" s="25" t="s">
        <v>97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9">
        <f t="shared" si="0"/>
        <v>0</v>
      </c>
    </row>
    <row r="35" spans="2:23">
      <c r="B35" s="25">
        <v>30</v>
      </c>
      <c r="C35" s="26">
        <v>1216</v>
      </c>
      <c r="D35" s="25" t="s">
        <v>98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9">
        <f t="shared" si="0"/>
        <v>0</v>
      </c>
    </row>
    <row r="36" spans="2:23">
      <c r="B36" s="25">
        <v>31</v>
      </c>
      <c r="C36" s="26">
        <v>1254</v>
      </c>
      <c r="D36" s="25" t="s">
        <v>99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9">
        <f t="shared" si="0"/>
        <v>0</v>
      </c>
    </row>
  </sheetData>
  <mergeCells count="4">
    <mergeCell ref="B2:D2"/>
    <mergeCell ref="E2:W2"/>
    <mergeCell ref="D3:D4"/>
    <mergeCell ref="B3:C4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workbookViewId="0">
      <selection activeCell="D29" sqref="D29"/>
    </sheetView>
  </sheetViews>
  <sheetFormatPr defaultColWidth="9" defaultRowHeight="13.8" outlineLevelCol="5"/>
  <cols>
    <col min="1" max="1" width="19.125" customWidth="1"/>
    <col min="2" max="2" width="14.875" customWidth="1"/>
    <col min="3" max="3" width="44.75" customWidth="1"/>
    <col min="4" max="4" width="47.75" customWidth="1"/>
    <col min="5" max="5" width="68.5" customWidth="1"/>
    <col min="6" max="6" width="13.875" customWidth="1"/>
  </cols>
  <sheetData>
    <row r="1" spans="1:6">
      <c r="A1" s="1" t="s">
        <v>0</v>
      </c>
      <c r="B1" s="2"/>
      <c r="C1" s="3"/>
      <c r="D1" s="1" t="s">
        <v>100</v>
      </c>
      <c r="E1" s="3"/>
      <c r="F1" s="4" t="s">
        <v>101</v>
      </c>
    </row>
    <row r="2" spans="1:5">
      <c r="A2" s="5"/>
      <c r="B2" s="5"/>
      <c r="C2" s="6" t="s">
        <v>102</v>
      </c>
      <c r="D2" s="7" t="s">
        <v>103</v>
      </c>
      <c r="E2" s="7" t="s">
        <v>104</v>
      </c>
    </row>
    <row r="3" spans="1:5">
      <c r="A3" s="8" t="s">
        <v>13</v>
      </c>
      <c r="B3" s="8" t="s">
        <v>14</v>
      </c>
      <c r="C3" s="9" t="s">
        <v>15</v>
      </c>
      <c r="D3" s="10"/>
      <c r="E3" s="10"/>
    </row>
    <row r="4" spans="1:5">
      <c r="A4" s="11">
        <v>1</v>
      </c>
      <c r="B4" s="11">
        <v>1261</v>
      </c>
      <c r="C4" s="12" t="s">
        <v>16</v>
      </c>
      <c r="D4" s="13" t="s">
        <v>105</v>
      </c>
      <c r="E4" s="14" t="s">
        <v>106</v>
      </c>
    </row>
    <row r="5" spans="1:5">
      <c r="A5" s="11">
        <v>2</v>
      </c>
      <c r="B5" s="11">
        <v>1249</v>
      </c>
      <c r="C5" s="15" t="s">
        <v>17</v>
      </c>
      <c r="D5" s="15" t="s">
        <v>107</v>
      </c>
      <c r="E5" s="14" t="s">
        <v>106</v>
      </c>
    </row>
    <row r="6" spans="1:5">
      <c r="A6" s="11">
        <v>3</v>
      </c>
      <c r="B6" s="11">
        <v>1130</v>
      </c>
      <c r="C6" s="10" t="s">
        <v>18</v>
      </c>
      <c r="D6" s="10"/>
      <c r="E6" s="16" t="s">
        <v>108</v>
      </c>
    </row>
    <row r="7" spans="1:5">
      <c r="A7" s="11">
        <v>4</v>
      </c>
      <c r="B7" s="11">
        <v>605</v>
      </c>
      <c r="C7" s="10" t="s">
        <v>19</v>
      </c>
      <c r="D7" s="10"/>
      <c r="E7" s="16" t="s">
        <v>109</v>
      </c>
    </row>
    <row r="8" spans="1:5">
      <c r="A8" s="11">
        <v>5</v>
      </c>
      <c r="B8" s="11">
        <v>612</v>
      </c>
      <c r="C8" s="10" t="s">
        <v>20</v>
      </c>
      <c r="D8" s="10"/>
      <c r="E8" s="16" t="s">
        <v>110</v>
      </c>
    </row>
    <row r="9" spans="1:5">
      <c r="A9" s="11">
        <v>6</v>
      </c>
      <c r="B9" s="11">
        <v>1159</v>
      </c>
      <c r="C9" s="10" t="s">
        <v>21</v>
      </c>
      <c r="D9" s="10"/>
      <c r="E9" s="16" t="s">
        <v>111</v>
      </c>
    </row>
    <row r="10" spans="1:5">
      <c r="A10" s="11">
        <v>7</v>
      </c>
      <c r="B10" s="11">
        <v>1233</v>
      </c>
      <c r="C10" s="10" t="s">
        <v>22</v>
      </c>
      <c r="D10" s="10"/>
      <c r="E10" s="16" t="s">
        <v>112</v>
      </c>
    </row>
    <row r="11" spans="1:5">
      <c r="A11" s="11">
        <v>8</v>
      </c>
      <c r="B11" s="11">
        <v>1168</v>
      </c>
      <c r="C11" s="10" t="s">
        <v>23</v>
      </c>
      <c r="D11" s="10"/>
      <c r="E11" s="17" t="s">
        <v>106</v>
      </c>
    </row>
    <row r="12" spans="1:5">
      <c r="A12" s="11">
        <v>9</v>
      </c>
      <c r="B12" s="11">
        <v>1150</v>
      </c>
      <c r="C12" s="10" t="s">
        <v>24</v>
      </c>
      <c r="D12" s="10"/>
      <c r="E12" s="16" t="s">
        <v>113</v>
      </c>
    </row>
    <row r="13" spans="1:5">
      <c r="A13" s="11">
        <v>10</v>
      </c>
      <c r="B13" s="11">
        <v>1184</v>
      </c>
      <c r="C13" s="15" t="s">
        <v>25</v>
      </c>
      <c r="D13" s="15" t="s">
        <v>114</v>
      </c>
      <c r="E13" s="14" t="s">
        <v>106</v>
      </c>
    </row>
    <row r="14" spans="1:5">
      <c r="A14" s="11">
        <v>11</v>
      </c>
      <c r="B14" s="11">
        <v>1270</v>
      </c>
      <c r="C14" s="12" t="s">
        <v>26</v>
      </c>
      <c r="D14" s="12"/>
      <c r="E14" s="14" t="s">
        <v>106</v>
      </c>
    </row>
    <row r="15" spans="1:5">
      <c r="A15" s="11">
        <v>12</v>
      </c>
      <c r="B15" s="11">
        <v>1199</v>
      </c>
      <c r="C15" s="10" t="s">
        <v>27</v>
      </c>
      <c r="D15" s="10"/>
      <c r="E15" s="16" t="s">
        <v>115</v>
      </c>
    </row>
    <row r="16" spans="1:5">
      <c r="A16" s="11">
        <v>13</v>
      </c>
      <c r="B16" s="11" t="s">
        <v>28</v>
      </c>
      <c r="C16" s="12" t="s">
        <v>29</v>
      </c>
      <c r="D16" s="18" t="s">
        <v>116</v>
      </c>
      <c r="E16" s="16" t="s">
        <v>117</v>
      </c>
    </row>
    <row r="17" spans="1:5">
      <c r="A17" s="11">
        <v>14</v>
      </c>
      <c r="B17" s="11">
        <v>1246</v>
      </c>
      <c r="C17" s="10" t="s">
        <v>30</v>
      </c>
      <c r="D17" s="10"/>
      <c r="E17" s="17" t="s">
        <v>118</v>
      </c>
    </row>
    <row r="18" spans="1:5">
      <c r="A18" s="11">
        <v>15</v>
      </c>
      <c r="B18" s="11">
        <v>1156</v>
      </c>
      <c r="C18" s="12" t="s">
        <v>31</v>
      </c>
      <c r="D18" s="10"/>
      <c r="E18" s="14" t="s">
        <v>106</v>
      </c>
    </row>
    <row r="19" spans="1:5">
      <c r="A19" s="11">
        <v>16</v>
      </c>
      <c r="B19" s="11">
        <v>1187</v>
      </c>
      <c r="C19" s="10" t="s">
        <v>32</v>
      </c>
      <c r="D19" s="10"/>
      <c r="E19" s="16" t="s">
        <v>119</v>
      </c>
    </row>
    <row r="20" spans="1:5">
      <c r="A20" s="11">
        <v>17</v>
      </c>
      <c r="B20" s="11">
        <v>1202</v>
      </c>
      <c r="C20" s="10" t="s">
        <v>33</v>
      </c>
      <c r="D20" s="10"/>
      <c r="E20" s="16" t="s">
        <v>120</v>
      </c>
    </row>
    <row r="21" spans="1:5">
      <c r="A21" s="11">
        <v>18</v>
      </c>
      <c r="B21" s="11">
        <v>1147</v>
      </c>
      <c r="C21" s="12" t="s">
        <v>34</v>
      </c>
      <c r="D21" s="17" t="s">
        <v>121</v>
      </c>
      <c r="E21" s="16" t="s">
        <v>122</v>
      </c>
    </row>
    <row r="22" spans="1:5">
      <c r="A22" s="11">
        <v>19</v>
      </c>
      <c r="B22" s="11">
        <v>1193</v>
      </c>
      <c r="C22" s="15" t="s">
        <v>35</v>
      </c>
      <c r="D22" s="18" t="s">
        <v>123</v>
      </c>
      <c r="E22" s="17" t="s">
        <v>106</v>
      </c>
    </row>
    <row r="23" spans="1:5">
      <c r="A23" s="11">
        <v>20</v>
      </c>
      <c r="B23" s="11">
        <v>1209</v>
      </c>
      <c r="C23" s="10" t="s">
        <v>36</v>
      </c>
      <c r="D23" s="10"/>
      <c r="E23" s="16" t="s">
        <v>124</v>
      </c>
    </row>
    <row r="24" spans="1:5">
      <c r="A24" s="11">
        <v>21</v>
      </c>
      <c r="B24" s="11">
        <v>1153</v>
      </c>
      <c r="C24" s="10" t="s">
        <v>37</v>
      </c>
      <c r="D24" s="10"/>
      <c r="E24" s="16" t="s">
        <v>125</v>
      </c>
    </row>
    <row r="25" spans="1:5">
      <c r="A25" s="11">
        <v>22</v>
      </c>
      <c r="B25" s="11">
        <v>1068</v>
      </c>
      <c r="C25" s="12" t="s">
        <v>38</v>
      </c>
      <c r="D25" s="17" t="s">
        <v>126</v>
      </c>
      <c r="E25" s="16" t="s">
        <v>127</v>
      </c>
    </row>
    <row r="26" spans="1:5">
      <c r="A26" s="11">
        <v>23</v>
      </c>
      <c r="B26" s="11">
        <v>1244</v>
      </c>
      <c r="C26" s="10" t="s">
        <v>39</v>
      </c>
      <c r="D26" s="10"/>
      <c r="E26" s="17" t="s">
        <v>106</v>
      </c>
    </row>
    <row r="27" spans="1:5">
      <c r="A27" s="11">
        <v>24</v>
      </c>
      <c r="B27" s="11">
        <v>719</v>
      </c>
      <c r="C27" s="10" t="s">
        <v>40</v>
      </c>
      <c r="D27" s="10"/>
      <c r="E27" s="17" t="s">
        <v>128</v>
      </c>
    </row>
    <row r="28" spans="1:5">
      <c r="A28" s="11">
        <v>25</v>
      </c>
      <c r="B28" s="11">
        <v>1259</v>
      </c>
      <c r="C28" s="10" t="s">
        <v>41</v>
      </c>
      <c r="D28" s="10"/>
      <c r="E28" s="17" t="s">
        <v>129</v>
      </c>
    </row>
    <row r="29" spans="1:5">
      <c r="A29" s="11">
        <v>26</v>
      </c>
      <c r="B29" s="11">
        <v>1267</v>
      </c>
      <c r="C29" s="12" t="s">
        <v>42</v>
      </c>
      <c r="D29" s="10"/>
      <c r="E29" s="14" t="s">
        <v>106</v>
      </c>
    </row>
    <row r="30" spans="1:5">
      <c r="A30" s="11">
        <v>27</v>
      </c>
      <c r="B30" s="11">
        <v>1206</v>
      </c>
      <c r="C30" s="12" t="s">
        <v>43</v>
      </c>
      <c r="D30" s="10"/>
      <c r="E30" s="14" t="s">
        <v>106</v>
      </c>
    </row>
    <row r="31" spans="1:5">
      <c r="A31" s="11">
        <v>28</v>
      </c>
      <c r="B31" s="11">
        <v>1144</v>
      </c>
      <c r="C31" s="12" t="s">
        <v>44</v>
      </c>
      <c r="D31" s="10"/>
      <c r="E31" s="14" t="s">
        <v>106</v>
      </c>
    </row>
    <row r="32" spans="1:5">
      <c r="A32" s="11">
        <v>29</v>
      </c>
      <c r="B32" s="11">
        <v>1137</v>
      </c>
      <c r="C32" s="19" t="s">
        <v>45</v>
      </c>
      <c r="D32" s="19" t="s">
        <v>130</v>
      </c>
      <c r="E32" s="16" t="s">
        <v>131</v>
      </c>
    </row>
    <row r="33" spans="1:5">
      <c r="A33" s="11">
        <v>30</v>
      </c>
      <c r="B33" s="11">
        <v>1216</v>
      </c>
      <c r="C33" s="10" t="s">
        <v>46</v>
      </c>
      <c r="D33" s="10"/>
      <c r="E33" s="16" t="s">
        <v>132</v>
      </c>
    </row>
    <row r="34" spans="1:5">
      <c r="A34" s="11">
        <v>31</v>
      </c>
      <c r="B34" s="11">
        <v>1254</v>
      </c>
      <c r="C34" s="10" t="s">
        <v>47</v>
      </c>
      <c r="D34" s="10"/>
      <c r="E34" s="16" t="s">
        <v>133</v>
      </c>
    </row>
  </sheetData>
  <mergeCells count="2">
    <mergeCell ref="A1:C1"/>
    <mergeCell ref="D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Calificaciones</vt:lpstr>
      <vt:lpstr>Tareas</vt:lpstr>
      <vt:lpstr>Incidencia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Guerra Santibanez Elisa (BGSW/EBS3.1-SX)</dc:creator>
  <cp:lastModifiedBy>activ</cp:lastModifiedBy>
  <dcterms:created xsi:type="dcterms:W3CDTF">2025-11-01T17:31:00Z</dcterms:created>
  <dcterms:modified xsi:type="dcterms:W3CDTF">2025-11-19T17:32:44Z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9FC28FC8EEF046138C14D2D73032ABE8_12</vt:lpwstr>
  </property>
  <property fmtid="{D5CDD505-2E9C-101B-9397-08002B2CF9AE}" pid="3" name="KSOProductBuildVer">
    <vt:lpwstr>2058-12.2.0.23155</vt:lpwstr>
  </property>
</Properties>
</file>