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Calificaciones 2025-2026\"/>
    </mc:Choice>
  </mc:AlternateContent>
  <xr:revisionPtr revIDLastSave="0" documentId="13_ncr:1_{879D9DBB-BF47-4198-A99D-0BCAE8838CB8}" xr6:coauthVersionLast="47" xr6:coauthVersionMax="47" xr10:uidLastSave="{00000000-0000-0000-0000-000000000000}"/>
  <bookViews>
    <workbookView xWindow="22932" yWindow="-96" windowWidth="23256" windowHeight="12456" activeTab="1" xr2:uid="{B2EF7373-A7E6-423B-9BCC-817B77FBEC7D}"/>
  </bookViews>
  <sheets>
    <sheet name="Calificaciones" sheetId="3" r:id="rId1"/>
    <sheet name="Tarea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1" l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6" i="1"/>
  <c r="I17" i="3" l="1"/>
  <c r="L17" i="3" s="1"/>
  <c r="I18" i="3"/>
  <c r="L18" i="3" s="1"/>
  <c r="I19" i="3"/>
  <c r="L19" i="3" s="1"/>
  <c r="I20" i="3"/>
  <c r="L20" i="3" s="1"/>
  <c r="I21" i="3"/>
  <c r="L21" i="3" s="1"/>
  <c r="I22" i="3"/>
  <c r="L22" i="3" s="1"/>
  <c r="I23" i="3"/>
  <c r="L23" i="3" s="1"/>
  <c r="I24" i="3"/>
  <c r="L24" i="3" s="1"/>
  <c r="I25" i="3"/>
  <c r="L25" i="3" s="1"/>
  <c r="I26" i="3"/>
  <c r="L26" i="3" s="1"/>
  <c r="I27" i="3"/>
  <c r="L27" i="3" s="1"/>
  <c r="I28" i="3"/>
  <c r="L28" i="3" s="1"/>
  <c r="I29" i="3"/>
  <c r="L29" i="3" s="1"/>
  <c r="I30" i="3"/>
  <c r="L30" i="3" s="1"/>
  <c r="I31" i="3"/>
  <c r="L31" i="3" s="1"/>
  <c r="I32" i="3"/>
  <c r="L32" i="3" s="1"/>
  <c r="I33" i="3"/>
  <c r="L33" i="3" s="1"/>
  <c r="I34" i="3"/>
  <c r="L34" i="3" s="1"/>
  <c r="I35" i="3"/>
  <c r="L35" i="3" s="1"/>
  <c r="I36" i="3"/>
  <c r="L36" i="3" s="1"/>
  <c r="G37" i="3"/>
  <c r="H37" i="3"/>
  <c r="J37" i="3"/>
  <c r="K37" i="3"/>
  <c r="F37" i="3"/>
  <c r="E37" i="3"/>
  <c r="I16" i="3"/>
  <c r="L16" i="3" s="1"/>
  <c r="I7" i="3"/>
  <c r="L7" i="3" s="1"/>
  <c r="I8" i="3"/>
  <c r="L8" i="3" s="1"/>
  <c r="I9" i="3"/>
  <c r="L9" i="3" s="1"/>
  <c r="I10" i="3"/>
  <c r="L10" i="3" s="1"/>
  <c r="I11" i="3"/>
  <c r="L11" i="3" s="1"/>
  <c r="I12" i="3"/>
  <c r="L12" i="3" s="1"/>
  <c r="I13" i="3"/>
  <c r="L13" i="3" s="1"/>
  <c r="I14" i="3"/>
  <c r="L14" i="3" s="1"/>
  <c r="I15" i="3"/>
  <c r="L15" i="3" s="1"/>
  <c r="I6" i="3"/>
  <c r="L6" i="3" s="1"/>
  <c r="I37" i="3" l="1"/>
  <c r="L37" i="3"/>
</calcChain>
</file>

<file path=xl/sharedStrings.xml><?xml version="1.0" encoding="utf-8"?>
<sst xmlns="http://schemas.openxmlformats.org/spreadsheetml/2006/main" count="114" uniqueCount="88">
  <si>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</si>
  <si>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</si>
  <si>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</si>
  <si>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</si>
  <si>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</si>
  <si>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</si>
  <si>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</si>
  <si>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</si>
  <si>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</si>
  <si>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</si>
  <si>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</si>
  <si>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</si>
  <si>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</si>
  <si>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</si>
  <si>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Tarea</t>
  </si>
  <si>
    <t>TOTAL</t>
  </si>
  <si>
    <t>Almanza Rocha Valeria Paola</t>
  </si>
  <si>
    <t>Camejo de la Torre Josue</t>
  </si>
  <si>
    <t>Chavez Escobedo Carlo</t>
  </si>
  <si>
    <t>Medina Hernandez Angela Karol</t>
  </si>
  <si>
    <t>Morales Alvarez Julia</t>
  </si>
  <si>
    <t>Rodriguez Robles Mateo</t>
  </si>
  <si>
    <t>Sanchez Pedraza Ian Alexander</t>
  </si>
  <si>
    <t>Serrano Ponce Camila Denisse</t>
  </si>
  <si>
    <t>Torres Avalos Oskar</t>
  </si>
  <si>
    <t>Venegas Delgadillo Jorge Alfonso</t>
  </si>
  <si>
    <t>Zarate Medellin Regina Noemi</t>
  </si>
  <si>
    <t>Barbosa Leon Damian Alejandro</t>
  </si>
  <si>
    <t>Barragan Canela Leonela Nicole</t>
  </si>
  <si>
    <t>Barrera Ortega Ximena Paola</t>
  </si>
  <si>
    <t>Bernal Serrano Jessica Liliana</t>
  </si>
  <si>
    <t>Castillo Lopez Carlos Gael</t>
  </si>
  <si>
    <t>Cárdenas Calá Antonella</t>
  </si>
  <si>
    <t>Cruz Gama Mateo Emiliano</t>
  </si>
  <si>
    <t>Cueva Rangel Oswaldo Eleazar</t>
  </si>
  <si>
    <t>Dávalos Sánchez Francisco Tadeo</t>
  </si>
  <si>
    <t>Díaz Elizalde Sofía</t>
  </si>
  <si>
    <t>Espinoza Gonzalez Leonardo Daniel</t>
  </si>
  <si>
    <t>Fuentes Fernandez Maximo Dario</t>
  </si>
  <si>
    <t>PPRIM242550</t>
  </si>
  <si>
    <t>Gonzalez Parra Amanda Rhomina</t>
  </si>
  <si>
    <t>Gonzalez Soto Adiel Emiliano</t>
  </si>
  <si>
    <t>González de la Cerda Isaías Daniel</t>
  </si>
  <si>
    <t>Hernández Félix Neizan Jesús</t>
  </si>
  <si>
    <t>Hernández López Santiago Matías</t>
  </si>
  <si>
    <t>Irineo Navarro Sofia Esmeralda</t>
  </si>
  <si>
    <t>Ivañez Duran Tadeo Salvador</t>
  </si>
  <si>
    <t>Jaime Cambero Ian Carlo</t>
  </si>
  <si>
    <t>Jimenez Moreno Fátima Johana Yazmin</t>
  </si>
  <si>
    <t>Lúa Alexander Yelena Itzayana</t>
  </si>
  <si>
    <t>Martínez Rodríguez Dayana</t>
  </si>
  <si>
    <t>Mendoza Gaspar Julian</t>
  </si>
  <si>
    <t>Paramo Castro Mateo</t>
  </si>
  <si>
    <t>Ponce Ramirez Alexandra Dannaé</t>
  </si>
  <si>
    <t>Solares Moreno Ximena Anahi</t>
  </si>
  <si>
    <t>Solorzano Alvarado Santiago Gabriel</t>
  </si>
  <si>
    <t>Soto Ayala Christian Gabriel</t>
  </si>
  <si>
    <t>Soto Lobo Andrea</t>
  </si>
  <si>
    <t>Vera Gomez Santiago Karim</t>
  </si>
  <si>
    <t>N7 SECUNDARIA 1°A</t>
  </si>
  <si>
    <t>Geografía</t>
  </si>
  <si>
    <t>Historia</t>
  </si>
  <si>
    <t>Regularización de actividades</t>
  </si>
  <si>
    <t>Lección 28. El Primer Imperio Mexicano</t>
  </si>
  <si>
    <t>Lección 29. Independencia de Texas</t>
  </si>
  <si>
    <t>Lección 30. Conociendo a Santa Anna</t>
  </si>
  <si>
    <t>Investigar sobre un grupo indígena</t>
  </si>
  <si>
    <t>Imagen de un desatre natural</t>
  </si>
  <si>
    <t>¿Qué harías tú actualmente si no contaras con tecnología?</t>
  </si>
  <si>
    <t> ¿Qué es lo que entiendes por región biocultural?</t>
  </si>
  <si>
    <t> Descripción de su entorno geográfico en donde viven</t>
  </si>
  <si>
    <t>Investigación sobre la Mariposa Monarca</t>
  </si>
  <si>
    <t>Dibujo de un animal de zona biocultural de México</t>
  </si>
  <si>
    <t>Lugares más destacados que tengas cerca del lugar donde vives</t>
  </si>
  <si>
    <t>¿Qué significa el concepto pueblos mágicos?</t>
  </si>
  <si>
    <t>Realizar un plano de tú escuela</t>
  </si>
  <si>
    <t>Realizar el mapa de un lugar de tú interés</t>
  </si>
  <si>
    <t>Describir el relieve del entorno que te rodea</t>
  </si>
  <si>
    <t>Realizar el dibujo de algún volcán de México</t>
  </si>
  <si>
    <t>Maqueta sobre las capas internas de la tierra</t>
  </si>
  <si>
    <t> ¿Cuál es la diferencia entre un terremoto y un maremoto? </t>
  </si>
  <si>
    <t>Dibujar señaléticas de precaución</t>
  </si>
  <si>
    <t>Traer cartulina, colores, plumones o plastilinas</t>
  </si>
  <si>
    <t>Cuadro comparativo entre plano y mapa</t>
  </si>
  <si>
    <t>Traer una imagen de algun relieve que te guste</t>
  </si>
  <si>
    <t>Investigar las principales fuentes de agua en México</t>
  </si>
  <si>
    <t>Ilustra el proceso de nixtamalización</t>
  </si>
  <si>
    <t>Anuncio publicitario para combatir el cambio climático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</si>
</sst>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37"/>
  <sheetViews>
    <sheetView topLeftCell="A10" workbookViewId="0">
      <selection activeCell="F39" sqref="F39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4" t="s">
        <v>59</v>
      </c>
      <c r="C2" s="14"/>
      <c r="D2" s="14"/>
      <c r="E2" s="14" t="s">
        <v>61</v>
      </c>
      <c r="F2" s="14"/>
      <c r="G2" s="14"/>
      <c r="H2" s="14"/>
      <c r="I2" s="14"/>
      <c r="J2" s="14"/>
      <c r="K2" s="14"/>
      <c r="L2" s="14"/>
      <c r="M2" s="14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1261</v>
      </c>
      <c r="D6" t="s">
        <v>27</v>
      </c>
      <c r="E6" s="9">
        <v>3</v>
      </c>
      <c r="F6" s="9">
        <v>7.3</v>
      </c>
      <c r="G6" s="9">
        <v>0</v>
      </c>
      <c r="H6" s="9">
        <v>0</v>
      </c>
      <c r="I6" s="9">
        <f>Tareas!AE6</f>
        <v>0</v>
      </c>
      <c r="J6" s="9">
        <v>0</v>
      </c>
      <c r="K6" s="9">
        <v>0</v>
      </c>
      <c r="L6" s="10">
        <f xml:space="preserve"> E6*0.09 + F6*0.09 + G8*0.25 + H6*0.07 + I6*0.2 + J6*0.2 + K6*0.1</f>
        <v>0.92699999999999994</v>
      </c>
      <c r="M6" s="1"/>
    </row>
    <row r="7" spans="2:13" x14ac:dyDescent="0.25">
      <c r="B7" s="5">
        <v>2</v>
      </c>
      <c r="C7" s="5">
        <v>1249</v>
      </c>
      <c r="D7" s="1" t="s">
        <v>28</v>
      </c>
      <c r="E7" s="9">
        <v>7</v>
      </c>
      <c r="F7" s="9">
        <v>8</v>
      </c>
      <c r="G7" s="9">
        <v>0</v>
      </c>
      <c r="H7" s="9">
        <v>0</v>
      </c>
      <c r="I7" s="9">
        <f>Tareas!AE7</f>
        <v>0</v>
      </c>
      <c r="J7" s="9">
        <v>0</v>
      </c>
      <c r="K7" s="9">
        <v>0</v>
      </c>
      <c r="L7" s="10">
        <f t="shared" ref="L7:L15" si="0" xml:space="preserve"> E7*0.09 + F7*0.09 + G7*0.25 + H7*0.07 + I7*0.2 + J7*0.2 + K7*0.1</f>
        <v>1.35</v>
      </c>
      <c r="M7" s="1"/>
    </row>
    <row r="8" spans="2:13" x14ac:dyDescent="0.25">
      <c r="B8" s="5">
        <v>3</v>
      </c>
      <c r="C8" s="5">
        <v>1130</v>
      </c>
      <c r="D8" s="1" t="s">
        <v>29</v>
      </c>
      <c r="E8" s="9">
        <v>6</v>
      </c>
      <c r="F8" s="9">
        <v>9.3000000000000007</v>
      </c>
      <c r="G8" s="9">
        <v>0</v>
      </c>
      <c r="H8" s="9">
        <v>0</v>
      </c>
      <c r="I8" s="9">
        <f>Tareas!AE8</f>
        <v>0</v>
      </c>
      <c r="J8" s="9">
        <v>0</v>
      </c>
      <c r="K8" s="9">
        <v>0</v>
      </c>
      <c r="L8" s="10">
        <f t="shared" si="0"/>
        <v>1.3770000000000002</v>
      </c>
      <c r="M8" s="1"/>
    </row>
    <row r="9" spans="2:13" x14ac:dyDescent="0.25">
      <c r="B9" s="5">
        <v>4</v>
      </c>
      <c r="C9" s="5">
        <v>605</v>
      </c>
      <c r="D9" s="1" t="s">
        <v>30</v>
      </c>
      <c r="E9" s="9">
        <v>6</v>
      </c>
      <c r="F9" s="9">
        <v>6.7</v>
      </c>
      <c r="G9" s="9">
        <v>0</v>
      </c>
      <c r="H9" s="9">
        <v>0</v>
      </c>
      <c r="I9" s="9">
        <f>Tareas!AE9</f>
        <v>0</v>
      </c>
      <c r="J9" s="9">
        <v>0</v>
      </c>
      <c r="K9" s="9">
        <v>0</v>
      </c>
      <c r="L9" s="10">
        <f t="shared" si="0"/>
        <v>1.143</v>
      </c>
      <c r="M9" s="1"/>
    </row>
    <row r="10" spans="2:13" x14ac:dyDescent="0.25">
      <c r="B10" s="5">
        <v>5</v>
      </c>
      <c r="C10" s="5">
        <v>612</v>
      </c>
      <c r="D10" s="1" t="s">
        <v>31</v>
      </c>
      <c r="E10" s="9">
        <v>6</v>
      </c>
      <c r="F10" s="9">
        <v>8.6999999999999993</v>
      </c>
      <c r="G10" s="9">
        <v>0</v>
      </c>
      <c r="H10" s="9">
        <v>0</v>
      </c>
      <c r="I10" s="9">
        <f>Tareas!AE10</f>
        <v>0</v>
      </c>
      <c r="J10" s="9">
        <v>0</v>
      </c>
      <c r="K10" s="9">
        <v>0</v>
      </c>
      <c r="L10" s="10">
        <f t="shared" si="0"/>
        <v>1.323</v>
      </c>
      <c r="M10" s="1"/>
    </row>
    <row r="11" spans="2:13" x14ac:dyDescent="0.25">
      <c r="B11" s="5">
        <v>6</v>
      </c>
      <c r="C11" s="5">
        <v>1159</v>
      </c>
      <c r="D11" s="1" t="s">
        <v>32</v>
      </c>
      <c r="E11" s="9">
        <v>7</v>
      </c>
      <c r="F11" s="9">
        <v>7.3</v>
      </c>
      <c r="G11" s="9">
        <v>0</v>
      </c>
      <c r="H11" s="9">
        <v>0</v>
      </c>
      <c r="I11" s="9">
        <f>Tareas!AE11</f>
        <v>0</v>
      </c>
      <c r="J11" s="9">
        <v>0</v>
      </c>
      <c r="K11" s="9">
        <v>0</v>
      </c>
      <c r="L11" s="10">
        <f t="shared" si="0"/>
        <v>1.2869999999999999</v>
      </c>
      <c r="M11" s="1"/>
    </row>
    <row r="12" spans="2:13" x14ac:dyDescent="0.25">
      <c r="B12" s="5">
        <v>7</v>
      </c>
      <c r="C12" s="5">
        <v>1233</v>
      </c>
      <c r="D12" s="1" t="s">
        <v>33</v>
      </c>
      <c r="E12" s="9">
        <v>4</v>
      </c>
      <c r="F12" s="9">
        <v>6.7</v>
      </c>
      <c r="G12" s="9">
        <v>0</v>
      </c>
      <c r="H12" s="9">
        <v>0</v>
      </c>
      <c r="I12" s="9">
        <f>Tareas!AE12</f>
        <v>0</v>
      </c>
      <c r="J12" s="9">
        <v>0</v>
      </c>
      <c r="K12" s="9">
        <v>0</v>
      </c>
      <c r="L12" s="10">
        <f t="shared" si="0"/>
        <v>0.96299999999999997</v>
      </c>
      <c r="M12" s="1"/>
    </row>
    <row r="13" spans="2:13" x14ac:dyDescent="0.25">
      <c r="B13" s="5">
        <v>8</v>
      </c>
      <c r="C13" s="5">
        <v>1168</v>
      </c>
      <c r="D13" s="1" t="s">
        <v>34</v>
      </c>
      <c r="E13" s="9">
        <v>4</v>
      </c>
      <c r="F13" s="9">
        <v>6.7</v>
      </c>
      <c r="G13" s="9">
        <v>0</v>
      </c>
      <c r="H13" s="9">
        <v>0</v>
      </c>
      <c r="I13" s="9">
        <f>Tareas!AE13</f>
        <v>0</v>
      </c>
      <c r="J13" s="9">
        <v>0</v>
      </c>
      <c r="K13" s="9">
        <v>0</v>
      </c>
      <c r="L13" s="10">
        <f t="shared" si="0"/>
        <v>0.96299999999999997</v>
      </c>
      <c r="M13" s="1"/>
    </row>
    <row r="14" spans="2:13" x14ac:dyDescent="0.25">
      <c r="B14" s="5">
        <v>9</v>
      </c>
      <c r="C14" s="5">
        <v>1150</v>
      </c>
      <c r="D14" s="1" t="s">
        <v>35</v>
      </c>
      <c r="E14" s="9">
        <v>5</v>
      </c>
      <c r="F14" s="9">
        <v>5.3</v>
      </c>
      <c r="G14" s="9">
        <v>0</v>
      </c>
      <c r="H14" s="9">
        <v>0</v>
      </c>
      <c r="I14" s="9">
        <f>Tareas!AE14</f>
        <v>0</v>
      </c>
      <c r="J14" s="9">
        <v>0</v>
      </c>
      <c r="K14" s="9">
        <v>0</v>
      </c>
      <c r="L14" s="10">
        <f t="shared" si="0"/>
        <v>0.92699999999999994</v>
      </c>
      <c r="M14" s="1"/>
    </row>
    <row r="15" spans="2:13" x14ac:dyDescent="0.25">
      <c r="B15" s="5">
        <v>10</v>
      </c>
      <c r="C15" s="5">
        <v>1184</v>
      </c>
      <c r="D15" s="1" t="s">
        <v>36</v>
      </c>
      <c r="E15" s="9">
        <v>7</v>
      </c>
      <c r="F15" s="9">
        <v>8</v>
      </c>
      <c r="G15" s="9">
        <v>0</v>
      </c>
      <c r="H15" s="9">
        <v>0</v>
      </c>
      <c r="I15" s="9">
        <f>Tareas!AE15</f>
        <v>0</v>
      </c>
      <c r="J15" s="9">
        <v>0</v>
      </c>
      <c r="K15" s="9">
        <v>0</v>
      </c>
      <c r="L15" s="10">
        <f t="shared" si="0"/>
        <v>1.35</v>
      </c>
      <c r="M15" s="1"/>
    </row>
    <row r="16" spans="2:13" x14ac:dyDescent="0.25">
      <c r="B16" s="5">
        <v>11</v>
      </c>
      <c r="C16" s="5">
        <v>1270</v>
      </c>
      <c r="D16" s="1" t="s">
        <v>37</v>
      </c>
      <c r="E16" s="9">
        <v>5</v>
      </c>
      <c r="F16" s="9">
        <v>7.6</v>
      </c>
      <c r="G16" s="9">
        <v>0</v>
      </c>
      <c r="H16" s="9">
        <v>0</v>
      </c>
      <c r="I16" s="9">
        <f>Tareas!AE16</f>
        <v>0</v>
      </c>
      <c r="J16" s="9">
        <v>0</v>
      </c>
      <c r="K16" s="9">
        <v>0</v>
      </c>
      <c r="L16" s="10">
        <f t="shared" ref="L16" si="1" xml:space="preserve"> E16*0.09 + F16*0.09 + G16*0.25 + H16*0.07 + I16*0.2 + J16*0.2 + K16*0.1</f>
        <v>1.1339999999999999</v>
      </c>
      <c r="M16" s="1"/>
    </row>
    <row r="17" spans="2:13" x14ac:dyDescent="0.25">
      <c r="B17" s="5">
        <v>12</v>
      </c>
      <c r="C17" s="5">
        <v>1199</v>
      </c>
      <c r="D17" s="1" t="s">
        <v>38</v>
      </c>
      <c r="E17" s="9">
        <v>5</v>
      </c>
      <c r="F17" s="9">
        <v>6.7</v>
      </c>
      <c r="G17" s="9">
        <v>0</v>
      </c>
      <c r="H17" s="9">
        <v>0</v>
      </c>
      <c r="I17" s="9">
        <f>Tareas!AE17</f>
        <v>0</v>
      </c>
      <c r="J17" s="9">
        <v>0</v>
      </c>
      <c r="K17" s="9">
        <v>0</v>
      </c>
      <c r="L17" s="10">
        <f t="shared" ref="L17:L36" si="2" xml:space="preserve"> E17*0.09 + F17*0.09 + G17*0.25 + H17*0.07 + I17*0.2 + J17*0.2 + K17*0.1</f>
        <v>1.0529999999999999</v>
      </c>
      <c r="M17" s="1"/>
    </row>
    <row r="18" spans="2:13" x14ac:dyDescent="0.25">
      <c r="B18" s="5">
        <v>13</v>
      </c>
      <c r="C18" s="5" t="s">
        <v>39</v>
      </c>
      <c r="D18" s="1" t="s">
        <v>40</v>
      </c>
      <c r="E18" s="9">
        <v>7</v>
      </c>
      <c r="F18" s="9">
        <v>8.6999999999999993</v>
      </c>
      <c r="G18" s="9">
        <v>0</v>
      </c>
      <c r="H18" s="9">
        <v>0</v>
      </c>
      <c r="I18" s="9">
        <f>Tareas!AE18</f>
        <v>0</v>
      </c>
      <c r="J18" s="9">
        <v>0</v>
      </c>
      <c r="K18" s="9">
        <v>0</v>
      </c>
      <c r="L18" s="10">
        <f t="shared" si="2"/>
        <v>1.4129999999999998</v>
      </c>
      <c r="M18" s="1"/>
    </row>
    <row r="19" spans="2:13" x14ac:dyDescent="0.25">
      <c r="B19" s="5">
        <v>14</v>
      </c>
      <c r="C19" s="5">
        <v>1246</v>
      </c>
      <c r="D19" s="1" t="s">
        <v>41</v>
      </c>
      <c r="E19" s="9">
        <v>5</v>
      </c>
      <c r="F19" s="9">
        <v>4.7</v>
      </c>
      <c r="G19" s="9">
        <v>0</v>
      </c>
      <c r="H19" s="9">
        <v>0</v>
      </c>
      <c r="I19" s="9">
        <f>Tareas!AE19</f>
        <v>0</v>
      </c>
      <c r="J19" s="9">
        <v>0</v>
      </c>
      <c r="K19" s="9">
        <v>0</v>
      </c>
      <c r="L19" s="10">
        <f t="shared" si="2"/>
        <v>0.873</v>
      </c>
      <c r="M19" s="1"/>
    </row>
    <row r="20" spans="2:13" x14ac:dyDescent="0.25">
      <c r="B20" s="5">
        <v>15</v>
      </c>
      <c r="C20" s="5">
        <v>1156</v>
      </c>
      <c r="D20" s="1" t="s">
        <v>42</v>
      </c>
      <c r="E20" s="9">
        <v>3</v>
      </c>
      <c r="F20" s="9">
        <v>6.7</v>
      </c>
      <c r="G20" s="9">
        <v>0</v>
      </c>
      <c r="H20" s="9">
        <v>0</v>
      </c>
      <c r="I20" s="9">
        <f>Tareas!AE20</f>
        <v>0</v>
      </c>
      <c r="J20" s="9">
        <v>0</v>
      </c>
      <c r="K20" s="9">
        <v>0</v>
      </c>
      <c r="L20" s="10">
        <f t="shared" si="2"/>
        <v>0.873</v>
      </c>
      <c r="M20" s="1"/>
    </row>
    <row r="21" spans="2:13" x14ac:dyDescent="0.25">
      <c r="B21" s="5">
        <v>16</v>
      </c>
      <c r="C21" s="5">
        <v>1187</v>
      </c>
      <c r="D21" s="1" t="s">
        <v>43</v>
      </c>
      <c r="E21" s="9">
        <v>6</v>
      </c>
      <c r="F21" s="9">
        <v>4.7</v>
      </c>
      <c r="G21" s="9">
        <v>0</v>
      </c>
      <c r="H21" s="9">
        <v>0</v>
      </c>
      <c r="I21" s="9">
        <f>Tareas!AE21</f>
        <v>0</v>
      </c>
      <c r="J21" s="9">
        <v>0</v>
      </c>
      <c r="K21" s="9">
        <v>0</v>
      </c>
      <c r="L21" s="10">
        <f t="shared" si="2"/>
        <v>0.96300000000000008</v>
      </c>
      <c r="M21" s="1"/>
    </row>
    <row r="22" spans="2:13" x14ac:dyDescent="0.25">
      <c r="B22" s="5">
        <v>17</v>
      </c>
      <c r="C22" s="5">
        <v>1202</v>
      </c>
      <c r="D22" s="1" t="s">
        <v>44</v>
      </c>
      <c r="E22" s="9">
        <v>5</v>
      </c>
      <c r="F22" s="9">
        <v>9.3000000000000007</v>
      </c>
      <c r="G22" s="9">
        <v>0</v>
      </c>
      <c r="H22" s="9">
        <v>0</v>
      </c>
      <c r="I22" s="9">
        <f>Tareas!AE22</f>
        <v>0</v>
      </c>
      <c r="J22" s="9">
        <v>0</v>
      </c>
      <c r="K22" s="9">
        <v>0</v>
      </c>
      <c r="L22" s="10">
        <f t="shared" si="2"/>
        <v>1.2869999999999999</v>
      </c>
      <c r="M22" s="1"/>
    </row>
    <row r="23" spans="2:13" x14ac:dyDescent="0.25">
      <c r="B23" s="5">
        <v>18</v>
      </c>
      <c r="C23" s="5">
        <v>1147</v>
      </c>
      <c r="D23" s="1" t="s">
        <v>45</v>
      </c>
      <c r="E23" s="9">
        <v>6</v>
      </c>
      <c r="F23" s="9">
        <v>4</v>
      </c>
      <c r="G23" s="9">
        <v>0</v>
      </c>
      <c r="H23" s="9">
        <v>0</v>
      </c>
      <c r="I23" s="9">
        <f>Tareas!AE23</f>
        <v>0</v>
      </c>
      <c r="J23" s="9">
        <v>0</v>
      </c>
      <c r="K23" s="9">
        <v>0</v>
      </c>
      <c r="L23" s="10">
        <f t="shared" si="2"/>
        <v>0.9</v>
      </c>
      <c r="M23" s="1"/>
    </row>
    <row r="24" spans="2:13" x14ac:dyDescent="0.25">
      <c r="B24" s="5">
        <v>19</v>
      </c>
      <c r="C24" s="5">
        <v>1193</v>
      </c>
      <c r="D24" s="1" t="s">
        <v>46</v>
      </c>
      <c r="E24" s="9">
        <v>2</v>
      </c>
      <c r="F24" s="9">
        <v>8.6999999999999993</v>
      </c>
      <c r="G24" s="9">
        <v>0</v>
      </c>
      <c r="H24" s="9">
        <v>0</v>
      </c>
      <c r="I24" s="9">
        <f>Tareas!AE24</f>
        <v>0</v>
      </c>
      <c r="J24" s="9">
        <v>0</v>
      </c>
      <c r="K24" s="9">
        <v>0</v>
      </c>
      <c r="L24" s="10">
        <f t="shared" si="2"/>
        <v>0.96299999999999986</v>
      </c>
      <c r="M24" s="1"/>
    </row>
    <row r="25" spans="2:13" x14ac:dyDescent="0.25">
      <c r="B25" s="5">
        <v>20</v>
      </c>
      <c r="C25" s="5">
        <v>1209</v>
      </c>
      <c r="D25" s="1" t="s">
        <v>47</v>
      </c>
      <c r="E25" s="9">
        <v>6</v>
      </c>
      <c r="F25" s="9">
        <v>8</v>
      </c>
      <c r="G25" s="9">
        <v>0</v>
      </c>
      <c r="H25" s="9">
        <v>0</v>
      </c>
      <c r="I25" s="9">
        <f>Tareas!AE25</f>
        <v>0</v>
      </c>
      <c r="J25" s="9">
        <v>0</v>
      </c>
      <c r="K25" s="9">
        <v>0</v>
      </c>
      <c r="L25" s="10">
        <f t="shared" si="2"/>
        <v>1.26</v>
      </c>
      <c r="M25" s="1"/>
    </row>
    <row r="26" spans="2:13" x14ac:dyDescent="0.25">
      <c r="B26" s="5">
        <v>21</v>
      </c>
      <c r="C26" s="5">
        <v>1153</v>
      </c>
      <c r="D26" s="1" t="s">
        <v>48</v>
      </c>
      <c r="E26" s="9">
        <v>5</v>
      </c>
      <c r="F26" s="9">
        <v>10</v>
      </c>
      <c r="G26" s="9">
        <v>0</v>
      </c>
      <c r="H26" s="9">
        <v>0</v>
      </c>
      <c r="I26" s="9">
        <f>Tareas!AE26</f>
        <v>0</v>
      </c>
      <c r="J26" s="9">
        <v>0</v>
      </c>
      <c r="K26" s="9">
        <v>0</v>
      </c>
      <c r="L26" s="10">
        <f t="shared" si="2"/>
        <v>1.3499999999999999</v>
      </c>
      <c r="M26" s="1"/>
    </row>
    <row r="27" spans="2:13" x14ac:dyDescent="0.25">
      <c r="B27" s="5">
        <v>22</v>
      </c>
      <c r="C27" s="5">
        <v>1068</v>
      </c>
      <c r="D27" s="1" t="s">
        <v>49</v>
      </c>
      <c r="E27" s="9">
        <v>5</v>
      </c>
      <c r="F27" s="13">
        <v>0</v>
      </c>
      <c r="G27" s="9">
        <v>0</v>
      </c>
      <c r="H27" s="9">
        <v>0</v>
      </c>
      <c r="I27" s="9">
        <f>Tareas!AE27</f>
        <v>0</v>
      </c>
      <c r="J27" s="9">
        <v>0</v>
      </c>
      <c r="K27" s="9">
        <v>0</v>
      </c>
      <c r="L27" s="10">
        <f t="shared" si="2"/>
        <v>0.44999999999999996</v>
      </c>
      <c r="M27" s="1"/>
    </row>
    <row r="28" spans="2:13" x14ac:dyDescent="0.25">
      <c r="B28" s="5">
        <v>23</v>
      </c>
      <c r="C28" s="5">
        <v>1244</v>
      </c>
      <c r="D28" s="1" t="s">
        <v>50</v>
      </c>
      <c r="E28" s="9">
        <v>4</v>
      </c>
      <c r="F28" s="9">
        <v>6.7</v>
      </c>
      <c r="G28" s="9">
        <v>0</v>
      </c>
      <c r="H28" s="9">
        <v>0</v>
      </c>
      <c r="I28" s="9">
        <f>Tareas!AE28</f>
        <v>0</v>
      </c>
      <c r="J28" s="9">
        <v>0</v>
      </c>
      <c r="K28" s="9">
        <v>0</v>
      </c>
      <c r="L28" s="10">
        <f t="shared" si="2"/>
        <v>0.96299999999999997</v>
      </c>
      <c r="M28" s="1"/>
    </row>
    <row r="29" spans="2:13" x14ac:dyDescent="0.25">
      <c r="B29" s="5">
        <v>24</v>
      </c>
      <c r="C29" s="5">
        <v>719</v>
      </c>
      <c r="D29" s="1" t="s">
        <v>51</v>
      </c>
      <c r="E29" s="9">
        <v>2</v>
      </c>
      <c r="F29" s="9">
        <v>2</v>
      </c>
      <c r="G29" s="9">
        <v>0</v>
      </c>
      <c r="H29" s="9">
        <v>0</v>
      </c>
      <c r="I29" s="9">
        <f>Tareas!AE29</f>
        <v>0</v>
      </c>
      <c r="J29" s="9">
        <v>0</v>
      </c>
      <c r="K29" s="9">
        <v>0</v>
      </c>
      <c r="L29" s="10">
        <f t="shared" si="2"/>
        <v>0.36</v>
      </c>
      <c r="M29" s="1"/>
    </row>
    <row r="30" spans="2:13" x14ac:dyDescent="0.25">
      <c r="B30" s="5">
        <v>25</v>
      </c>
      <c r="C30" s="5">
        <v>1259</v>
      </c>
      <c r="D30" s="1" t="s">
        <v>52</v>
      </c>
      <c r="E30" s="9">
        <v>2</v>
      </c>
      <c r="F30" s="9">
        <v>3.3</v>
      </c>
      <c r="G30" s="9">
        <v>0</v>
      </c>
      <c r="H30" s="9">
        <v>0</v>
      </c>
      <c r="I30" s="9">
        <f>Tareas!AE30</f>
        <v>0</v>
      </c>
      <c r="J30" s="9">
        <v>0</v>
      </c>
      <c r="K30" s="9">
        <v>0</v>
      </c>
      <c r="L30" s="10">
        <f t="shared" si="2"/>
        <v>0.47699999999999998</v>
      </c>
      <c r="M30" s="1"/>
    </row>
    <row r="31" spans="2:13" x14ac:dyDescent="0.25">
      <c r="B31" s="5">
        <v>26</v>
      </c>
      <c r="C31" s="5">
        <v>1267</v>
      </c>
      <c r="D31" s="1" t="s">
        <v>53</v>
      </c>
      <c r="E31" s="9">
        <v>6</v>
      </c>
      <c r="F31" s="9">
        <v>8.6999999999999993</v>
      </c>
      <c r="G31" s="9">
        <v>0</v>
      </c>
      <c r="H31" s="9">
        <v>0</v>
      </c>
      <c r="I31" s="9">
        <f>Tareas!AE31</f>
        <v>0</v>
      </c>
      <c r="J31" s="9">
        <v>0</v>
      </c>
      <c r="K31" s="9">
        <v>0</v>
      </c>
      <c r="L31" s="10">
        <f t="shared" si="2"/>
        <v>1.323</v>
      </c>
      <c r="M31" s="1"/>
    </row>
    <row r="32" spans="2:13" x14ac:dyDescent="0.25">
      <c r="B32" s="5">
        <v>27</v>
      </c>
      <c r="C32" s="5">
        <v>1206</v>
      </c>
      <c r="D32" s="1" t="s">
        <v>54</v>
      </c>
      <c r="E32" s="9">
        <v>6</v>
      </c>
      <c r="F32" s="9">
        <v>10</v>
      </c>
      <c r="G32" s="9">
        <v>0</v>
      </c>
      <c r="H32" s="9">
        <v>0</v>
      </c>
      <c r="I32" s="9">
        <f>Tareas!AE32</f>
        <v>0</v>
      </c>
      <c r="J32" s="9">
        <v>0</v>
      </c>
      <c r="K32" s="9">
        <v>0</v>
      </c>
      <c r="L32" s="10">
        <f t="shared" si="2"/>
        <v>1.44</v>
      </c>
      <c r="M32" s="1"/>
    </row>
    <row r="33" spans="2:13" x14ac:dyDescent="0.25">
      <c r="B33" s="5">
        <v>28</v>
      </c>
      <c r="C33" s="5">
        <v>1144</v>
      </c>
      <c r="D33" s="1" t="s">
        <v>55</v>
      </c>
      <c r="E33" s="9">
        <v>7</v>
      </c>
      <c r="F33" s="9">
        <v>6.7</v>
      </c>
      <c r="G33" s="9">
        <v>0</v>
      </c>
      <c r="H33" s="9">
        <v>0</v>
      </c>
      <c r="I33" s="9">
        <f>Tareas!AE33</f>
        <v>0</v>
      </c>
      <c r="J33" s="9">
        <v>0</v>
      </c>
      <c r="K33" s="9">
        <v>0</v>
      </c>
      <c r="L33" s="10">
        <f t="shared" si="2"/>
        <v>1.2330000000000001</v>
      </c>
      <c r="M33" s="1"/>
    </row>
    <row r="34" spans="2:13" x14ac:dyDescent="0.25">
      <c r="B34" s="5">
        <v>29</v>
      </c>
      <c r="C34" s="5">
        <v>1137</v>
      </c>
      <c r="D34" s="1" t="s">
        <v>56</v>
      </c>
      <c r="E34" s="13">
        <v>0</v>
      </c>
      <c r="F34" s="13">
        <v>0</v>
      </c>
      <c r="G34" s="9">
        <v>0</v>
      </c>
      <c r="H34" s="9">
        <v>0</v>
      </c>
      <c r="I34" s="9">
        <f>Tareas!AE34</f>
        <v>0</v>
      </c>
      <c r="J34" s="9">
        <v>0</v>
      </c>
      <c r="K34" s="9">
        <v>0</v>
      </c>
      <c r="L34" s="10">
        <f t="shared" si="2"/>
        <v>0</v>
      </c>
      <c r="M34" s="1"/>
    </row>
    <row r="35" spans="2:13" x14ac:dyDescent="0.25">
      <c r="B35" s="5">
        <v>30</v>
      </c>
      <c r="C35" s="5">
        <v>1216</v>
      </c>
      <c r="D35" s="1" t="s">
        <v>57</v>
      </c>
      <c r="E35" s="9">
        <v>7</v>
      </c>
      <c r="F35" s="9">
        <v>10</v>
      </c>
      <c r="G35" s="9">
        <v>0</v>
      </c>
      <c r="H35" s="9">
        <v>0</v>
      </c>
      <c r="I35" s="9">
        <f>Tareas!AE35</f>
        <v>0</v>
      </c>
      <c r="J35" s="9">
        <v>0</v>
      </c>
      <c r="K35" s="9">
        <v>0</v>
      </c>
      <c r="L35" s="10">
        <f t="shared" si="2"/>
        <v>1.5299999999999998</v>
      </c>
      <c r="M35" s="1"/>
    </row>
    <row r="36" spans="2:13" x14ac:dyDescent="0.25">
      <c r="B36" s="5">
        <v>31</v>
      </c>
      <c r="C36" s="5">
        <v>1254</v>
      </c>
      <c r="D36" s="1" t="s">
        <v>58</v>
      </c>
      <c r="E36" s="9">
        <v>8</v>
      </c>
      <c r="F36" s="9">
        <v>8</v>
      </c>
      <c r="G36" s="9">
        <v>0</v>
      </c>
      <c r="H36" s="9">
        <v>0</v>
      </c>
      <c r="I36" s="9">
        <f>Tareas!AE36</f>
        <v>0</v>
      </c>
      <c r="J36" s="9">
        <v>0</v>
      </c>
      <c r="K36" s="9">
        <v>0</v>
      </c>
      <c r="L36" s="10">
        <f t="shared" si="2"/>
        <v>1.44</v>
      </c>
      <c r="M36" s="1"/>
    </row>
    <row r="37" spans="2:13" x14ac:dyDescent="0.25">
      <c r="B37" s="15" t="s">
        <v>15</v>
      </c>
      <c r="C37" s="16"/>
      <c r="D37" s="17"/>
      <c r="E37" s="12">
        <f>AVERAGE(E6:E36)</f>
        <v>5.064516129032258</v>
      </c>
      <c r="F37" s="12">
        <f>AVERAGE(F6:F36)</f>
        <v>6.7258064516129021</v>
      </c>
      <c r="G37" s="12">
        <f t="shared" ref="G37:L37" si="3">AVERAGE(G6:G36)</f>
        <v>0</v>
      </c>
      <c r="H37" s="12">
        <f t="shared" si="3"/>
        <v>0</v>
      </c>
      <c r="I37" s="12">
        <f t="shared" si="3"/>
        <v>0</v>
      </c>
      <c r="J37" s="12">
        <f t="shared" si="3"/>
        <v>0</v>
      </c>
      <c r="K37" s="12">
        <f t="shared" si="3"/>
        <v>0</v>
      </c>
      <c r="L37" s="12">
        <f t="shared" si="3"/>
        <v>1.0611290322580649</v>
      </c>
      <c r="M37" s="11"/>
    </row>
  </sheetData>
  <mergeCells count="3">
    <mergeCell ref="B2:D2"/>
    <mergeCell ref="E2:M2"/>
    <mergeCell ref="B37:D3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AE36"/>
  <sheetViews>
    <sheetView tabSelected="1" zoomScale="85" zoomScaleNormal="85" workbookViewId="0">
      <selection activeCell="B3" sqref="B3:AA4"/>
    </sheetView>
  </sheetViews>
  <sheetFormatPr defaultRowHeight="15" x14ac:dyDescent="0.25"/>
  <cols>
    <col min="3" max="3" width="12.5703125" bestFit="1" customWidth="1"/>
    <col min="4" max="4" width="34.85546875" bestFit="1" customWidth="1"/>
    <col min="5" max="6" width="3.85546875" bestFit="1" customWidth="1"/>
    <col min="7" max="7" width="6.7109375" bestFit="1" customWidth="1"/>
    <col min="8" max="13" width="6.5703125" bestFit="1" customWidth="1"/>
    <col min="14" max="14" width="3.85546875" bestFit="1" customWidth="1"/>
    <col min="15" max="15" width="7.140625" bestFit="1" customWidth="1"/>
    <col min="16" max="17" width="6.5703125" bestFit="1" customWidth="1"/>
    <col min="18" max="18" width="7.140625" bestFit="1" customWidth="1"/>
    <col min="19" max="19" width="6.7109375" bestFit="1" customWidth="1"/>
    <col min="20" max="20" width="3.85546875" bestFit="1" customWidth="1"/>
    <col min="21" max="23" width="6.5703125" bestFit="1" customWidth="1"/>
    <col min="24" max="24" width="7.140625" bestFit="1" customWidth="1"/>
    <col min="25" max="25" width="6.5703125" bestFit="1" customWidth="1"/>
    <col min="26" max="26" width="3.85546875" bestFit="1" customWidth="1"/>
    <col min="27" max="28" width="6.7109375" bestFit="1" customWidth="1"/>
    <col min="29" max="30" width="6.5703125" bestFit="1" customWidth="1"/>
    <col min="31" max="31" width="10.28515625" bestFit="1" customWidth="1"/>
  </cols>
  <sheetData>
    <row r="2" spans="2:31" x14ac:dyDescent="0.25">
      <c r="B2" s="14" t="s">
        <v>59</v>
      </c>
      <c r="C2" s="14"/>
      <c r="D2" s="14"/>
      <c r="E2" s="14" t="s">
        <v>60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spans="2:31" ht="174.75" customHeight="1" x14ac:dyDescent="0.25">
      <c r="B3" s="19"/>
      <c r="C3" s="19"/>
      <c r="D3" s="20" t="s">
        <v>14</v>
      </c>
      <c r="E3" s="18" t="s">
        <v>66</v>
      </c>
      <c r="F3" s="18" t="s">
        <v>67</v>
      </c>
      <c r="G3" s="18" t="s">
        <v>68</v>
      </c>
      <c r="H3" s="18" t="s">
        <v>69</v>
      </c>
      <c r="I3" s="18" t="s">
        <v>70</v>
      </c>
      <c r="J3" s="18" t="s">
        <v>71</v>
      </c>
      <c r="K3" s="18" t="s">
        <v>72</v>
      </c>
      <c r="L3" s="18" t="s">
        <v>73</v>
      </c>
      <c r="M3" s="18" t="s">
        <v>74</v>
      </c>
      <c r="N3" s="18" t="s">
        <v>75</v>
      </c>
      <c r="O3" s="18" t="s">
        <v>76</v>
      </c>
      <c r="P3" s="18" t="s">
        <v>77</v>
      </c>
      <c r="Q3" s="18" t="s">
        <v>78</v>
      </c>
      <c r="R3" s="18" t="s">
        <v>79</v>
      </c>
      <c r="S3" s="18" t="s">
        <v>80</v>
      </c>
      <c r="T3" s="18" t="s">
        <v>81</v>
      </c>
      <c r="U3" s="18" t="s">
        <v>82</v>
      </c>
      <c r="V3" s="18" t="s">
        <v>83</v>
      </c>
      <c r="W3" s="18" t="s">
        <v>84</v>
      </c>
      <c r="X3" s="18" t="s">
        <v>85</v>
      </c>
      <c r="Y3" s="18" t="s">
        <v>86</v>
      </c>
      <c r="Z3" s="18" t="s">
        <v>62</v>
      </c>
      <c r="AA3" s="18" t="s">
        <v>87</v>
      </c>
      <c r="AB3" s="18" t="s">
        <v>63</v>
      </c>
      <c r="AC3" s="18" t="s">
        <v>64</v>
      </c>
      <c r="AD3" s="18" t="s">
        <v>65</v>
      </c>
      <c r="AE3" s="6"/>
    </row>
    <row r="4" spans="2:31" x14ac:dyDescent="0.25">
      <c r="B4" s="19"/>
      <c r="C4" s="19"/>
      <c r="D4" s="20"/>
      <c r="E4" s="8">
        <v>1</v>
      </c>
      <c r="F4" s="8">
        <v>2</v>
      </c>
      <c r="G4" s="8">
        <v>3</v>
      </c>
      <c r="H4" s="8">
        <v>4</v>
      </c>
      <c r="I4" s="8">
        <v>5</v>
      </c>
      <c r="J4" s="8">
        <v>6</v>
      </c>
      <c r="K4" s="8">
        <v>7</v>
      </c>
      <c r="L4" s="8">
        <v>8</v>
      </c>
      <c r="M4" s="8">
        <v>9</v>
      </c>
      <c r="N4" s="8">
        <v>10</v>
      </c>
      <c r="O4" s="8">
        <v>11</v>
      </c>
      <c r="P4" s="8">
        <v>12</v>
      </c>
      <c r="Q4" s="8">
        <v>13</v>
      </c>
      <c r="R4" s="8">
        <v>14</v>
      </c>
      <c r="S4" s="8">
        <v>15</v>
      </c>
      <c r="T4" s="8">
        <v>16</v>
      </c>
      <c r="U4" s="8">
        <v>17</v>
      </c>
      <c r="V4" s="8">
        <v>18</v>
      </c>
      <c r="W4" s="8">
        <v>19</v>
      </c>
      <c r="X4" s="8">
        <v>20</v>
      </c>
      <c r="Y4" s="8">
        <v>21</v>
      </c>
      <c r="Z4" s="8">
        <v>22</v>
      </c>
      <c r="AA4" s="8">
        <v>23</v>
      </c>
      <c r="AB4" s="8">
        <v>24</v>
      </c>
      <c r="AC4" s="8">
        <v>25</v>
      </c>
      <c r="AD4" s="8">
        <v>26</v>
      </c>
      <c r="AE4" s="6" t="s">
        <v>10</v>
      </c>
    </row>
    <row r="5" spans="2:31" x14ac:dyDescent="0.25">
      <c r="B5" s="3" t="s">
        <v>0</v>
      </c>
      <c r="C5" s="3" t="s">
        <v>1</v>
      </c>
      <c r="D5" s="2" t="s">
        <v>2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6"/>
    </row>
    <row r="6" spans="2:31" x14ac:dyDescent="0.25">
      <c r="B6" s="5">
        <v>1</v>
      </c>
      <c r="C6" s="5">
        <v>1044</v>
      </c>
      <c r="D6" s="1" t="s">
        <v>16</v>
      </c>
      <c r="E6" s="22">
        <v>0</v>
      </c>
      <c r="F6" s="22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2">
        <v>0</v>
      </c>
      <c r="AB6" s="22">
        <v>0</v>
      </c>
      <c r="AC6" s="22">
        <v>0</v>
      </c>
      <c r="AD6" s="22">
        <v>0</v>
      </c>
      <c r="AE6" s="10">
        <f>AVERAGE(E6:AD6)</f>
        <v>0</v>
      </c>
    </row>
    <row r="7" spans="2:31" x14ac:dyDescent="0.25">
      <c r="B7" s="5">
        <v>2</v>
      </c>
      <c r="C7" s="5">
        <v>879</v>
      </c>
      <c r="D7" s="1" t="s">
        <v>17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10">
        <f t="shared" ref="AE7:AE36" si="0">AVERAGE(E7:AD7)</f>
        <v>0</v>
      </c>
    </row>
    <row r="8" spans="2:31" x14ac:dyDescent="0.25">
      <c r="B8" s="5">
        <v>3</v>
      </c>
      <c r="C8" s="5">
        <v>1052</v>
      </c>
      <c r="D8" s="1" t="s">
        <v>18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10">
        <f t="shared" si="0"/>
        <v>0</v>
      </c>
    </row>
    <row r="9" spans="2:31" x14ac:dyDescent="0.25">
      <c r="B9" s="5">
        <v>4</v>
      </c>
      <c r="C9" s="5">
        <v>1114</v>
      </c>
      <c r="D9" s="1" t="s">
        <v>19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10">
        <f t="shared" si="0"/>
        <v>0</v>
      </c>
    </row>
    <row r="10" spans="2:31" x14ac:dyDescent="0.25">
      <c r="B10" s="5">
        <v>5</v>
      </c>
      <c r="C10" s="5">
        <v>900</v>
      </c>
      <c r="D10" s="1" t="s">
        <v>20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10">
        <f t="shared" si="0"/>
        <v>0</v>
      </c>
    </row>
    <row r="11" spans="2:31" x14ac:dyDescent="0.25">
      <c r="B11" s="5">
        <v>6</v>
      </c>
      <c r="C11" s="5">
        <v>1058</v>
      </c>
      <c r="D11" s="1" t="s">
        <v>21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2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10">
        <f t="shared" si="0"/>
        <v>0</v>
      </c>
    </row>
    <row r="12" spans="2:31" x14ac:dyDescent="0.25">
      <c r="B12" s="5">
        <v>7</v>
      </c>
      <c r="C12" s="5">
        <v>1018</v>
      </c>
      <c r="D12" s="1" t="s">
        <v>22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10">
        <f t="shared" si="0"/>
        <v>0</v>
      </c>
    </row>
    <row r="13" spans="2:31" x14ac:dyDescent="0.25">
      <c r="B13" s="5">
        <v>8</v>
      </c>
      <c r="C13" s="5">
        <v>714</v>
      </c>
      <c r="D13" s="1" t="s">
        <v>23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10">
        <f t="shared" si="0"/>
        <v>0</v>
      </c>
    </row>
    <row r="14" spans="2:31" x14ac:dyDescent="0.25">
      <c r="B14" s="5">
        <v>9</v>
      </c>
      <c r="C14" s="5">
        <v>1010</v>
      </c>
      <c r="D14" s="1" t="s">
        <v>24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2">
        <v>0</v>
      </c>
      <c r="AB14" s="22">
        <v>0</v>
      </c>
      <c r="AC14" s="22">
        <v>0</v>
      </c>
      <c r="AD14" s="22">
        <v>0</v>
      </c>
      <c r="AE14" s="10">
        <f t="shared" si="0"/>
        <v>0</v>
      </c>
    </row>
    <row r="15" spans="2:31" x14ac:dyDescent="0.25">
      <c r="B15" s="5">
        <v>10</v>
      </c>
      <c r="C15" s="5">
        <v>1211</v>
      </c>
      <c r="D15" s="1" t="s">
        <v>25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  <c r="K15" s="22">
        <v>0</v>
      </c>
      <c r="L15" s="22">
        <v>0</v>
      </c>
      <c r="M15" s="22">
        <v>0</v>
      </c>
      <c r="N15" s="22">
        <v>0</v>
      </c>
      <c r="O15" s="22">
        <v>0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2">
        <v>0</v>
      </c>
      <c r="AB15" s="22">
        <v>0</v>
      </c>
      <c r="AC15" s="22">
        <v>0</v>
      </c>
      <c r="AD15" s="22">
        <v>0</v>
      </c>
      <c r="AE15" s="10">
        <f t="shared" si="0"/>
        <v>0</v>
      </c>
    </row>
    <row r="16" spans="2:31" x14ac:dyDescent="0.25">
      <c r="B16" s="5">
        <v>11</v>
      </c>
      <c r="C16" s="5">
        <v>880</v>
      </c>
      <c r="D16" s="1" t="s">
        <v>26</v>
      </c>
      <c r="E16" s="22">
        <v>0</v>
      </c>
      <c r="F16" s="22">
        <v>0</v>
      </c>
      <c r="G16" s="22">
        <v>0</v>
      </c>
      <c r="H16" s="22">
        <v>0</v>
      </c>
      <c r="I16" s="22">
        <v>0</v>
      </c>
      <c r="J16" s="22">
        <v>0</v>
      </c>
      <c r="K16" s="22"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  <c r="AE16" s="10">
        <f t="shared" si="0"/>
        <v>0</v>
      </c>
    </row>
    <row r="17" spans="2:31" x14ac:dyDescent="0.25">
      <c r="B17" s="5">
        <v>12</v>
      </c>
      <c r="C17" s="5">
        <v>1199</v>
      </c>
      <c r="D17" s="1" t="s">
        <v>38</v>
      </c>
      <c r="E17" s="22">
        <v>0</v>
      </c>
      <c r="F17" s="22">
        <v>0</v>
      </c>
      <c r="G17" s="22">
        <v>0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10">
        <f t="shared" si="0"/>
        <v>0</v>
      </c>
    </row>
    <row r="18" spans="2:31" x14ac:dyDescent="0.25">
      <c r="B18" s="5">
        <v>13</v>
      </c>
      <c r="C18" s="5" t="s">
        <v>39</v>
      </c>
      <c r="D18" s="1" t="s">
        <v>40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2">
        <v>0</v>
      </c>
      <c r="AD18" s="22">
        <v>0</v>
      </c>
      <c r="AE18" s="10">
        <f t="shared" si="0"/>
        <v>0</v>
      </c>
    </row>
    <row r="19" spans="2:31" x14ac:dyDescent="0.25">
      <c r="B19" s="5">
        <v>14</v>
      </c>
      <c r="C19" s="5">
        <v>1246</v>
      </c>
      <c r="D19" s="1" t="s">
        <v>41</v>
      </c>
      <c r="E19" s="22">
        <v>0</v>
      </c>
      <c r="F19" s="22">
        <v>0</v>
      </c>
      <c r="G19" s="22"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  <c r="AE19" s="10">
        <f t="shared" si="0"/>
        <v>0</v>
      </c>
    </row>
    <row r="20" spans="2:31" x14ac:dyDescent="0.25">
      <c r="B20" s="5">
        <v>15</v>
      </c>
      <c r="C20" s="5">
        <v>1156</v>
      </c>
      <c r="D20" s="1" t="s">
        <v>42</v>
      </c>
      <c r="E20" s="22">
        <v>0</v>
      </c>
      <c r="F20" s="22">
        <v>0</v>
      </c>
      <c r="G20" s="22">
        <v>0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  <c r="AE20" s="10">
        <f t="shared" si="0"/>
        <v>0</v>
      </c>
    </row>
    <row r="21" spans="2:31" x14ac:dyDescent="0.25">
      <c r="B21" s="5">
        <v>16</v>
      </c>
      <c r="C21" s="5">
        <v>1187</v>
      </c>
      <c r="D21" s="1" t="s">
        <v>43</v>
      </c>
      <c r="E21" s="22">
        <v>0</v>
      </c>
      <c r="F21" s="22">
        <v>0</v>
      </c>
      <c r="G21" s="22"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  <c r="AE21" s="10">
        <f t="shared" si="0"/>
        <v>0</v>
      </c>
    </row>
    <row r="22" spans="2:31" x14ac:dyDescent="0.25">
      <c r="B22" s="5">
        <v>17</v>
      </c>
      <c r="C22" s="5">
        <v>1202</v>
      </c>
      <c r="D22" s="1" t="s">
        <v>44</v>
      </c>
      <c r="E22" s="22">
        <v>0</v>
      </c>
      <c r="F22" s="22">
        <v>0</v>
      </c>
      <c r="G22" s="22">
        <v>0</v>
      </c>
      <c r="H22" s="22">
        <v>0</v>
      </c>
      <c r="I22" s="22">
        <v>0</v>
      </c>
      <c r="J22" s="22">
        <v>0</v>
      </c>
      <c r="K22" s="22"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  <c r="AE22" s="10">
        <f t="shared" si="0"/>
        <v>0</v>
      </c>
    </row>
    <row r="23" spans="2:31" x14ac:dyDescent="0.25">
      <c r="B23" s="5">
        <v>18</v>
      </c>
      <c r="C23" s="5">
        <v>1147</v>
      </c>
      <c r="D23" s="1" t="s">
        <v>45</v>
      </c>
      <c r="E23" s="22">
        <v>0</v>
      </c>
      <c r="F23" s="22">
        <v>0</v>
      </c>
      <c r="G23" s="22">
        <v>0</v>
      </c>
      <c r="H23" s="22">
        <v>0</v>
      </c>
      <c r="I23" s="22">
        <v>0</v>
      </c>
      <c r="J23" s="22">
        <v>0</v>
      </c>
      <c r="K23" s="22">
        <v>0</v>
      </c>
      <c r="L23" s="22">
        <v>0</v>
      </c>
      <c r="M23" s="22">
        <v>0</v>
      </c>
      <c r="N23" s="22">
        <v>0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2">
        <v>0</v>
      </c>
      <c r="AD23" s="22">
        <v>0</v>
      </c>
      <c r="AE23" s="10">
        <f t="shared" si="0"/>
        <v>0</v>
      </c>
    </row>
    <row r="24" spans="2:31" x14ac:dyDescent="0.25">
      <c r="B24" s="5">
        <v>19</v>
      </c>
      <c r="C24" s="5">
        <v>1193</v>
      </c>
      <c r="D24" s="1" t="s">
        <v>46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2">
        <v>0</v>
      </c>
      <c r="AB24" s="22">
        <v>0</v>
      </c>
      <c r="AC24" s="22">
        <v>0</v>
      </c>
      <c r="AD24" s="22">
        <v>0</v>
      </c>
      <c r="AE24" s="10">
        <f t="shared" si="0"/>
        <v>0</v>
      </c>
    </row>
    <row r="25" spans="2:31" x14ac:dyDescent="0.25">
      <c r="B25" s="5">
        <v>20</v>
      </c>
      <c r="C25" s="5">
        <v>1209</v>
      </c>
      <c r="D25" s="1" t="s">
        <v>47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2">
        <v>0</v>
      </c>
      <c r="AD25" s="22">
        <v>0</v>
      </c>
      <c r="AE25" s="10">
        <f t="shared" si="0"/>
        <v>0</v>
      </c>
    </row>
    <row r="26" spans="2:31" x14ac:dyDescent="0.25">
      <c r="B26" s="5">
        <v>21</v>
      </c>
      <c r="C26" s="5">
        <v>1153</v>
      </c>
      <c r="D26" s="1" t="s">
        <v>48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2">
        <v>0</v>
      </c>
      <c r="AD26" s="22">
        <v>0</v>
      </c>
      <c r="AE26" s="10">
        <f t="shared" si="0"/>
        <v>0</v>
      </c>
    </row>
    <row r="27" spans="2:31" x14ac:dyDescent="0.25">
      <c r="B27" s="5">
        <v>22</v>
      </c>
      <c r="C27" s="5">
        <v>1068</v>
      </c>
      <c r="D27" s="1" t="s">
        <v>49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2">
        <v>0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2">
        <v>0</v>
      </c>
      <c r="AD27" s="22">
        <v>0</v>
      </c>
      <c r="AE27" s="10">
        <f t="shared" si="0"/>
        <v>0</v>
      </c>
    </row>
    <row r="28" spans="2:31" x14ac:dyDescent="0.25">
      <c r="B28" s="5">
        <v>23</v>
      </c>
      <c r="C28" s="5">
        <v>1244</v>
      </c>
      <c r="D28" s="1" t="s">
        <v>50</v>
      </c>
      <c r="E28" s="22">
        <v>0</v>
      </c>
      <c r="F28" s="22">
        <v>0</v>
      </c>
      <c r="G28" s="22">
        <v>0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2">
        <v>0</v>
      </c>
      <c r="AD28" s="22">
        <v>0</v>
      </c>
      <c r="AE28" s="10">
        <f t="shared" si="0"/>
        <v>0</v>
      </c>
    </row>
    <row r="29" spans="2:31" x14ac:dyDescent="0.25">
      <c r="B29" s="5">
        <v>24</v>
      </c>
      <c r="C29" s="5">
        <v>719</v>
      </c>
      <c r="D29" s="1" t="s">
        <v>51</v>
      </c>
      <c r="E29" s="22">
        <v>0</v>
      </c>
      <c r="F29" s="22">
        <v>0</v>
      </c>
      <c r="G29" s="22">
        <v>0</v>
      </c>
      <c r="H29" s="22">
        <v>0</v>
      </c>
      <c r="I29" s="22">
        <v>0</v>
      </c>
      <c r="J29" s="22">
        <v>0</v>
      </c>
      <c r="K29" s="22">
        <v>0</v>
      </c>
      <c r="L29" s="22">
        <v>0</v>
      </c>
      <c r="M29" s="22">
        <v>0</v>
      </c>
      <c r="N29" s="22">
        <v>0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2">
        <v>0</v>
      </c>
      <c r="AB29" s="22">
        <v>0</v>
      </c>
      <c r="AC29" s="22">
        <v>0</v>
      </c>
      <c r="AD29" s="22">
        <v>0</v>
      </c>
      <c r="AE29" s="10">
        <f t="shared" si="0"/>
        <v>0</v>
      </c>
    </row>
    <row r="30" spans="2:31" x14ac:dyDescent="0.25">
      <c r="B30" s="5">
        <v>25</v>
      </c>
      <c r="C30" s="5">
        <v>1259</v>
      </c>
      <c r="D30" s="1" t="s">
        <v>52</v>
      </c>
      <c r="E30" s="22">
        <v>0</v>
      </c>
      <c r="F30" s="22">
        <v>0</v>
      </c>
      <c r="G30" s="22">
        <v>0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2">
        <v>0</v>
      </c>
      <c r="AB30" s="22">
        <v>0</v>
      </c>
      <c r="AC30" s="22">
        <v>0</v>
      </c>
      <c r="AD30" s="22">
        <v>0</v>
      </c>
      <c r="AE30" s="10">
        <f t="shared" si="0"/>
        <v>0</v>
      </c>
    </row>
    <row r="31" spans="2:31" x14ac:dyDescent="0.25">
      <c r="B31" s="5">
        <v>26</v>
      </c>
      <c r="C31" s="5">
        <v>1267</v>
      </c>
      <c r="D31" s="1" t="s">
        <v>53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2">
        <v>0</v>
      </c>
      <c r="N31" s="22">
        <v>0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2">
        <v>0</v>
      </c>
      <c r="AB31" s="22">
        <v>0</v>
      </c>
      <c r="AC31" s="22">
        <v>0</v>
      </c>
      <c r="AD31" s="22">
        <v>0</v>
      </c>
      <c r="AE31" s="10">
        <f t="shared" si="0"/>
        <v>0</v>
      </c>
    </row>
    <row r="32" spans="2:31" x14ac:dyDescent="0.25">
      <c r="B32" s="5">
        <v>27</v>
      </c>
      <c r="C32" s="5">
        <v>1206</v>
      </c>
      <c r="D32" s="1" t="s">
        <v>54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2">
        <v>0</v>
      </c>
      <c r="AB32" s="22">
        <v>0</v>
      </c>
      <c r="AC32" s="22">
        <v>0</v>
      </c>
      <c r="AD32" s="22">
        <v>0</v>
      </c>
      <c r="AE32" s="10">
        <f t="shared" si="0"/>
        <v>0</v>
      </c>
    </row>
    <row r="33" spans="2:31" x14ac:dyDescent="0.25">
      <c r="B33" s="5">
        <v>28</v>
      </c>
      <c r="C33" s="5">
        <v>1144</v>
      </c>
      <c r="D33" s="1" t="s">
        <v>55</v>
      </c>
      <c r="E33" s="22">
        <v>0</v>
      </c>
      <c r="F33" s="22">
        <v>0</v>
      </c>
      <c r="G33" s="22"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2">
        <v>0</v>
      </c>
      <c r="AD33" s="22">
        <v>0</v>
      </c>
      <c r="AE33" s="10">
        <f t="shared" si="0"/>
        <v>0</v>
      </c>
    </row>
    <row r="34" spans="2:31" x14ac:dyDescent="0.25">
      <c r="B34" s="5">
        <v>29</v>
      </c>
      <c r="C34" s="5">
        <v>1137</v>
      </c>
      <c r="D34" s="1" t="s">
        <v>56</v>
      </c>
      <c r="E34" s="22">
        <v>0</v>
      </c>
      <c r="F34" s="22">
        <v>0</v>
      </c>
      <c r="G34" s="22">
        <v>0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2">
        <v>0</v>
      </c>
      <c r="AB34" s="22">
        <v>0</v>
      </c>
      <c r="AC34" s="22">
        <v>0</v>
      </c>
      <c r="AD34" s="22">
        <v>0</v>
      </c>
      <c r="AE34" s="10">
        <f t="shared" si="0"/>
        <v>0</v>
      </c>
    </row>
    <row r="35" spans="2:31" x14ac:dyDescent="0.25">
      <c r="B35" s="5">
        <v>30</v>
      </c>
      <c r="C35" s="5">
        <v>1216</v>
      </c>
      <c r="D35" s="1" t="s">
        <v>57</v>
      </c>
      <c r="E35" s="22">
        <v>0</v>
      </c>
      <c r="F35" s="22">
        <v>0</v>
      </c>
      <c r="G35" s="22">
        <v>0</v>
      </c>
      <c r="H35" s="22">
        <v>0</v>
      </c>
      <c r="I35" s="22">
        <v>0</v>
      </c>
      <c r="J35" s="22">
        <v>0</v>
      </c>
      <c r="K35" s="22">
        <v>0</v>
      </c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2">
        <v>0</v>
      </c>
      <c r="AD35" s="22">
        <v>0</v>
      </c>
      <c r="AE35" s="10">
        <f t="shared" si="0"/>
        <v>0</v>
      </c>
    </row>
    <row r="36" spans="2:31" x14ac:dyDescent="0.25">
      <c r="B36" s="5">
        <v>31</v>
      </c>
      <c r="C36" s="5">
        <v>1254</v>
      </c>
      <c r="D36" s="1" t="s">
        <v>58</v>
      </c>
      <c r="E36" s="22">
        <v>0</v>
      </c>
      <c r="F36" s="22">
        <v>0</v>
      </c>
      <c r="G36" s="22">
        <v>0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2">
        <v>0</v>
      </c>
      <c r="AB36" s="22">
        <v>0</v>
      </c>
      <c r="AC36" s="22">
        <v>0</v>
      </c>
      <c r="AD36" s="22">
        <v>0</v>
      </c>
      <c r="AE36" s="10">
        <f t="shared" si="0"/>
        <v>0</v>
      </c>
    </row>
  </sheetData>
  <mergeCells count="4">
    <mergeCell ref="B2:D2"/>
    <mergeCell ref="B3:C4"/>
    <mergeCell ref="D3:D4"/>
    <mergeCell ref="E2:AE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Calificaciones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2025-11-01T17:31:50Z</dcterms:created>
  <dcterms:modified xsi:type="dcterms:W3CDTF">2025-11-04T19:37:41Z</dcterms:modified>
</cp:coreProperties>
</file>