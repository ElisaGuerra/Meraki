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1520" windowHeight="2940" activeTab="2"/>
  </bookViews>
  <sheets>
    <sheet name="Calificaciones" sheetId="3" r:id="rId1"/>
    <sheet name="Tareas" sheetId="1" r:id="rId2"/>
    <sheet name="Cuaderno" sheetId="6" r:id="rId3"/>
    <sheet name="Incidencias" sheetId="5"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<sst xmlns="http://schemas.openxmlformats.org/spreadsheetml/2006/main" count="222" uniqueCount="132">
  <si>
    <t>N8 SECUNDARIA 2°A</t>
  </si>
  <si>
    <t>Historia II</t>
  </si>
  <si>
    <t>Concepto a Calificar</t>
  </si>
  <si>
    <t>Examen 1</t>
  </si>
  <si>
    <t>Examen 2</t>
  </si>
  <si>
    <t>Examen Trimestral</t>
  </si>
  <si>
    <t>Disciplina</t>
  </si>
  <si>
    <t>Tareas</t>
  </si>
  <si>
    <t>Registro Diario</t>
  </si>
  <si>
    <t>Proyecto</t>
  </si>
  <si>
    <t>Promedio</t>
  </si>
  <si>
    <t>Comentario de Apoyo Requerido</t>
  </si>
  <si>
    <t>Porcentaje</t>
  </si>
  <si>
    <t>No.</t>
  </si>
  <si>
    <t>Matrícula</t>
  </si>
  <si>
    <t>Nombre del Alumno</t>
  </si>
  <si>
    <t>Arias Rojas Byron Osmar</t>
  </si>
  <si>
    <t>Arreola Ibarra Iker Santiago</t>
  </si>
  <si>
    <t>Blanco Mondragon Estela Mariel</t>
  </si>
  <si>
    <t>Camejo de la Torre Rebeca Abigail</t>
  </si>
  <si>
    <t>Cano Monge Jesus Aaron</t>
  </si>
  <si>
    <t>Castro Vergara Maia Sofía</t>
  </si>
  <si>
    <t>Del Valle Rodriguez Dante Karim</t>
  </si>
  <si>
    <t>Franco Cervantes Valeria</t>
  </si>
  <si>
    <t>Garcia Garcia Daxel Alejandro</t>
  </si>
  <si>
    <t>Gomez Torres Ethan Mateo</t>
  </si>
  <si>
    <t>Gonzalez Martinez Daniela Nicole</t>
  </si>
  <si>
    <t>Lopez Navarro Mia Sophia</t>
  </si>
  <si>
    <t>Maldonado Hernandez Joel</t>
  </si>
  <si>
    <t>Mejia Gomez Paulina Isabel</t>
  </si>
  <si>
    <t>Olivares Oceguera Santiago Nahum</t>
  </si>
  <si>
    <t>Patiño Carreño Julio Felipe</t>
  </si>
  <si>
    <t>Ramirez Garcia Johari Valentina</t>
  </si>
  <si>
    <t>Rico Bravo Matias Eduardo</t>
  </si>
  <si>
    <t>Sanchez Robles Santiago Daniel</t>
  </si>
  <si>
    <t>Sandoval Castañeda Nathalia Nohemi</t>
  </si>
  <si>
    <t>Velazquez Jasso Santiago</t>
  </si>
  <si>
    <t>Yañez Delgadillo Cyan</t>
  </si>
  <si>
    <t>Zambrano Chacon Dayron Jesus</t>
  </si>
  <si>
    <t>Zavala Cortés Madeline</t>
  </si>
  <si>
    <t>TOTAL</t>
  </si>
  <si>
    <t>Tarea</t>
  </si>
  <si>
    <t>Diferencias entre europeos e indígenas</t>
  </si>
  <si>
    <t>¿Qué es una bula papal?</t>
  </si>
  <si>
    <t>¿Qué piensas de la conquista de México?</t>
  </si>
  <si>
    <t>Rutas que realzó Cristobal Colón</t>
  </si>
  <si>
    <t>10 especias esenciales en la gastronomía actual</t>
  </si>
  <si>
    <t>Biografía de Fernando de Aragón e Isabel de Castilla</t>
  </si>
  <si>
    <t>Mapa conceptual de la vida indígena</t>
  </si>
  <si>
    <t>Traer cartulina, colores y plumones</t>
  </si>
  <si>
    <t>Opinión sobre culturas mesoamericanas</t>
  </si>
  <si>
    <t>Investigación sobre la religón Mexica</t>
  </si>
  <si>
    <t>Guerreros jaguar y águila</t>
  </si>
  <si>
    <t>Vida del Emperador Moctezuma</t>
  </si>
  <si>
    <t>Maqueta de la cultura Mexica</t>
  </si>
  <si>
    <t>¿Qué es una epidemia?</t>
  </si>
  <si>
    <t>Vida de la Malinche</t>
  </si>
  <si>
    <t>Rutas comerciales de los europeos</t>
  </si>
  <si>
    <t>Biografía de Cristobal Colón</t>
  </si>
  <si>
    <t>Mapa zonas mineras en la Nueva España</t>
  </si>
  <si>
    <t>Biografía Virrey Antonio de Mendoza</t>
  </si>
  <si>
    <t>¿Qué es la numismática?</t>
  </si>
  <si>
    <t>Relato trabajador Indigena Libro 1 pág. 46</t>
  </si>
  <si>
    <t>Regularización de actividades</t>
  </si>
  <si>
    <t>Lección 27. La Independencia de México</t>
  </si>
  <si>
    <t>Lección 28. El Primer Imperio Mexicano</t>
  </si>
  <si>
    <t>Lección 29. Independencia de Texas</t>
  </si>
  <si>
    <t>Lección 30. Conociendo a Santa Anna</t>
  </si>
  <si>
    <t>Cuaderno</t>
  </si>
  <si>
    <t>Examen Diagnóstico</t>
  </si>
  <si>
    <t>Rutas Comerciales</t>
  </si>
  <si>
    <t>Colonización</t>
  </si>
  <si>
    <t>Tratado de tardecillas</t>
  </si>
  <si>
    <t>Desiguladad y justicia social</t>
  </si>
  <si>
    <t>La conquista</t>
  </si>
  <si>
    <t>La triple alianza</t>
  </si>
  <si>
    <t>Sacrificios Humanos</t>
  </si>
  <si>
    <t>Religión Mexicana</t>
  </si>
  <si>
    <t>Gastronomía Indigena</t>
  </si>
  <si>
    <t>Las epidemias de Mesoamerica</t>
  </si>
  <si>
    <t>¿Qué hubiera pasado?</t>
  </si>
  <si>
    <t>Recapitulación</t>
  </si>
  <si>
    <t>El virreinato de la Nueva España</t>
  </si>
  <si>
    <t>Sistema de Castas de la Nueva España</t>
  </si>
  <si>
    <t>Encuentro de América y Europa</t>
  </si>
  <si>
    <t>Zonas mineras e impuestos</t>
  </si>
  <si>
    <t>Virreinato de la Nueva España</t>
  </si>
  <si>
    <t>Racismo y Colonialismo</t>
  </si>
  <si>
    <t>Esclavitud en la época colonial</t>
  </si>
  <si>
    <t>Conmemoración de la Revolución Mexicana</t>
  </si>
  <si>
    <t>La Independiencia de la Nueva España</t>
  </si>
  <si>
    <t>Resistencia y Consumación</t>
  </si>
  <si>
    <t>Martes 4/11/2025</t>
  </si>
  <si>
    <t>Miércoles 5/11/2025</t>
  </si>
  <si>
    <t>Lunes10/11/2025</t>
  </si>
  <si>
    <t>Actividad</t>
  </si>
  <si>
    <t>Revisión del Libro</t>
  </si>
  <si>
    <t>Revisión del Cuaderno</t>
  </si>
  <si>
    <t>Libro pp. 20, 24, 25, 26, 27, 28, 31, 32, 33, 34, 46, 51, 56, 64</t>
  </si>
  <si>
    <t>Lec. 1, 2, 3, 4, 5, 6, 7, 8, 9, 10, 13</t>
  </si>
  <si>
    <t xml:space="preserve">Libro pp. 20, 21, 23, 24, 27, 31, 39, 40, 41, 46, 47, 48, 52, 53, 54, 55 </t>
  </si>
  <si>
    <t>Lec. 4, 6, 17, 19</t>
  </si>
  <si>
    <r>
      <rPr>
        <sz val="11"/>
        <color theme="1"/>
        <rFont val="Aptos Narrow"/>
        <charset val="134"/>
        <scheme val="minor"/>
      </rPr>
      <t xml:space="preserve">Libro pp. 51, 54,63,64,65 </t>
    </r>
    <r>
      <rPr>
        <sz val="11"/>
        <color rgb="FFFF0000"/>
        <rFont val="Aptos Narrow"/>
        <charset val="134"/>
        <scheme val="minor"/>
      </rPr>
      <t>//80  1punto</t>
    </r>
  </si>
  <si>
    <t>Libro pp.</t>
  </si>
  <si>
    <t>Act. 3, 5, 6</t>
  </si>
  <si>
    <t>Act.</t>
  </si>
  <si>
    <t>Libro pp. 12, 13, 14, 15, 16, 17, 18, 19, 20, 21, 22, 23, 24, 25, 26, 27, 28, 29, 30, 31, 32, 33, 39, 40, 41, 45, 46, 48, 51, 56, 57, 58, 59, 60, 61, 62</t>
  </si>
  <si>
    <t>Act. 1, 3, 4 y 6</t>
  </si>
  <si>
    <t>Libro pp. 15, 16, 18, 19, 20, 21, 22, 23, 24, 26, 27, 28, 29, 30, 31, 32, 33, 34, 47, 48, 49, 50, 51, 52, 54, 55, 56, 57, 58, 59, 60, 61, 62, 63, 64</t>
  </si>
  <si>
    <r>
      <rPr>
        <sz val="11"/>
        <color theme="1"/>
        <rFont val="Aptos Narrow"/>
        <charset val="134"/>
        <scheme val="minor"/>
      </rPr>
      <t>Libro pp. 20, 24, 28, 31, 32, 33, 34, 48, 50, 51 /</t>
    </r>
    <r>
      <rPr>
        <sz val="11"/>
        <color rgb="FFFF0000"/>
        <rFont val="Aptos Narrow"/>
        <charset val="134"/>
        <scheme val="minor"/>
      </rPr>
      <t>/1 punto</t>
    </r>
  </si>
  <si>
    <t>Act. 6</t>
  </si>
  <si>
    <t>Libro pp. 10, 11, 12, 13, 14, 15, 16, 17, 18, 19, 20, 21, 22, 23, 24, 30, 31, 32, 33, 34, 35, 36, 37, 38, 45, 46, 47, 48, 49, 50, 51, 63, 64, 65, 66, 67, 69</t>
  </si>
  <si>
    <t>Libro pp. 16, 17, 18, 19, 20, 21, 22, 23, 24, 25, 26, 27, 28, 31, 32, 33, 34, 46, 48, 50, 53, 54, 55, 56, 57, 58, 59, 60, 61, 62</t>
  </si>
  <si>
    <t>Libro pp. 18, 30, 31, 49, 50, 51, 52, 53, 54, 55</t>
  </si>
  <si>
    <t>Act. 3, 6, 8, 9, 17, 19</t>
  </si>
  <si>
    <t>Libro pp. 13, 14, 15, 16, 17, 18, 19, 20, 21, 22, 23, 24, 25, 26, 27, 28, 30, 31, 32, 33, 34, 35, 36, 37, 38, 39, 40, 41, 52, 53, 54, 55, 56, 57, 58, 59, 60, 61. 63</t>
  </si>
  <si>
    <t>Libro pp. 19, 20, 21, 31, 32, 33, 34, 35, 46, 49, 50, 51</t>
  </si>
  <si>
    <t>Act. 17</t>
  </si>
  <si>
    <t>Libro pp. 13, 14, 15, 18, 19, 20, 21, 23, 24, 26, 28, 29, 30, 31, 32, 33, 39, 40, 41, 43, 44, 45, 46, 47, 48, 49, 50 - 72</t>
  </si>
  <si>
    <t>Libro pp. 18, 19, 20, 21, 22, 23, 24, 25, 26, 27, 28, 29, 30, 31, 32, 33, 34, 35, 39, 40, 41, 46, 48, 50, 51, 52, 53, 54, 55, 56, 58, 63, 64, 65, 66, 67, 68, 69, 70, 71,72</t>
  </si>
  <si>
    <r>
      <rPr>
        <sz val="11"/>
        <color theme="1"/>
        <rFont val="Aptos Narrow"/>
        <charset val="134"/>
        <scheme val="minor"/>
      </rPr>
      <t xml:space="preserve">Libro pp. 31 </t>
    </r>
    <r>
      <rPr>
        <sz val="11"/>
        <color rgb="FFFF0000"/>
        <rFont val="Aptos Narrow"/>
        <charset val="134"/>
        <scheme val="minor"/>
      </rPr>
      <t>//1p</t>
    </r>
  </si>
  <si>
    <t>Act. 1, 13, 18</t>
  </si>
  <si>
    <t>Libro pp. 16, 18, 19, 24, 31, 39, 46, 48, 49, 50, 63, 64</t>
  </si>
  <si>
    <t>Libro pp. 29, 30, 31, 32, 33, 34, 36, 37, 38, 49, 50, 51, 52</t>
  </si>
  <si>
    <t>Act. 1, 3, 4, 6, 8, 10, 12, 13, 14, 17, 19, 20</t>
  </si>
  <si>
    <t>Libro pp. 32,33,34,50,51,54,55,58,63,65,67,68,69,72,73</t>
  </si>
  <si>
    <t>Libro pp. 34, 51</t>
  </si>
  <si>
    <t>Act. 8, 10</t>
  </si>
  <si>
    <t xml:space="preserve">Libro pp. 14, 15, 16, 17, 18, 19, 20, 21, 22, 23, 24, 25, 26, 27, 28, 29, 30, 31, 32, 33, 34, 46, 47, 48, 51, 52, 53, 54, 55, 56, 57, 58, 59, 60, 61, 62 </t>
  </si>
  <si>
    <t xml:space="preserve">Libro pp. </t>
  </si>
  <si>
    <t>Act. 8, 16, 19</t>
  </si>
  <si>
    <t>Libro pp. 16, 18, 28, 31, 39, 40, 41, 46, 48, 49, 51, 52, 53, 54, 55, 56</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</si>
</sst>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 numFmtId="179" formatCode="0_ "/>
    <numFmt numFmtId="180" formatCode="0.0_ "/>
  </numFmts>
  <fonts count="23">
    <font>
      <sz val="11"/>
      <color theme="1"/>
      <name val="Aptos Narrow"/>
      <charset val="134"/>
      <scheme val="minor"/>
    </font>
    <font>
      <b/>
      <sz val="11"/>
      <color theme="1"/>
      <name val="Aptos Narrow"/>
      <charset val="134"/>
      <scheme val="minor"/>
    </font>
    <font>
      <b/>
      <sz val="11"/>
      <color rgb="FF333333"/>
      <name val="Arial"/>
      <charset val="134"/>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1"/>
      <color rgb="FFFF0000"/>
      <name val="Aptos Narrow"/>
      <charset val="134"/>
      <scheme val="minor"/>
    </font>
  </fonts>
  <fills count="36">
    <fill>
      <patternFill patternType="none"/>
    </fill>
    <fill>
      <patternFill patternType="gray125"/>
    </fill>
    <fill>
      <patternFill patternType="solid">
        <fgColor theme="4" tint="0.599993896298105"/>
        <bgColor indexed="64"/>
      </patternFill>
    </fill>
    <fill>
      <patternFill patternType="solid">
        <fgColor theme="4" tint="0.799981688894314"/>
        <bgColor indexed="64"/>
      </patternFill>
    </fill>
    <fill>
      <patternFill patternType="solid">
        <fgColor rgb="FFFFC000"/>
        <bgColor indexed="64"/>
      </patternFill>
    </fill>
    <fill>
      <patternFill patternType="solid">
        <fgColor rgb="FFFF5050"/>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7" borderId="1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12" applyNumberFormat="0" applyFill="0" applyAlignment="0" applyProtection="0">
      <alignment vertical="center"/>
    </xf>
    <xf numFmtId="0" fontId="9" fillId="0" borderId="12" applyNumberFormat="0" applyFill="0" applyAlignment="0" applyProtection="0">
      <alignment vertical="center"/>
    </xf>
    <xf numFmtId="0" fontId="10" fillId="0" borderId="13" applyNumberFormat="0" applyFill="0" applyAlignment="0" applyProtection="0">
      <alignment vertical="center"/>
    </xf>
    <xf numFmtId="0" fontId="10" fillId="0" borderId="0" applyNumberFormat="0" applyFill="0" applyBorder="0" applyAlignment="0" applyProtection="0">
      <alignment vertical="center"/>
    </xf>
    <xf numFmtId="0" fontId="11" fillId="8" borderId="14" applyNumberFormat="0" applyAlignment="0" applyProtection="0">
      <alignment vertical="center"/>
    </xf>
    <xf numFmtId="0" fontId="12" fillId="9" borderId="15" applyNumberFormat="0" applyAlignment="0" applyProtection="0">
      <alignment vertical="center"/>
    </xf>
    <xf numFmtId="0" fontId="13" fillId="9" borderId="14" applyNumberFormat="0" applyAlignment="0" applyProtection="0">
      <alignment vertical="center"/>
    </xf>
    <xf numFmtId="0" fontId="14" fillId="10" borderId="16" applyNumberFormat="0" applyAlignment="0" applyProtection="0">
      <alignment vertical="center"/>
    </xf>
    <xf numFmtId="0" fontId="15" fillId="0" borderId="17" applyNumberFormat="0" applyFill="0" applyAlignment="0" applyProtection="0">
      <alignment vertical="center"/>
    </xf>
    <xf numFmtId="0" fontId="16" fillId="0" borderId="18" applyNumberFormat="0" applyFill="0" applyAlignment="0" applyProtection="0">
      <alignment vertical="center"/>
    </xf>
    <xf numFmtId="0" fontId="17" fillId="11" borderId="0" applyNumberFormat="0" applyBorder="0" applyAlignment="0" applyProtection="0">
      <alignment vertical="center"/>
    </xf>
    <xf numFmtId="0" fontId="18"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1" fillId="3" borderId="0" applyNumberFormat="0" applyBorder="0" applyAlignment="0" applyProtection="0">
      <alignment vertical="center"/>
    </xf>
    <xf numFmtId="0" fontId="21" fillId="2" borderId="0" applyNumberFormat="0" applyBorder="0" applyAlignment="0" applyProtection="0">
      <alignment vertical="center"/>
    </xf>
    <xf numFmtId="0" fontId="20" fillId="15" borderId="0" applyNumberFormat="0" applyBorder="0" applyAlignment="0" applyProtection="0">
      <alignment vertical="center"/>
    </xf>
    <xf numFmtId="0" fontId="20"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0" fillId="19" borderId="0" applyNumberFormat="0" applyBorder="0" applyAlignment="0" applyProtection="0">
      <alignment vertical="center"/>
    </xf>
    <xf numFmtId="0" fontId="20"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0" fillId="23" borderId="0" applyNumberFormat="0" applyBorder="0" applyAlignment="0" applyProtection="0">
      <alignment vertical="center"/>
    </xf>
    <xf numFmtId="0" fontId="20"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0" fillId="27" borderId="0" applyNumberFormat="0" applyBorder="0" applyAlignment="0" applyProtection="0">
      <alignment vertical="center"/>
    </xf>
    <xf numFmtId="0" fontId="20"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0" fillId="31" borderId="0" applyNumberFormat="0" applyBorder="0" applyAlignment="0" applyProtection="0">
      <alignment vertical="center"/>
    </xf>
    <xf numFmtId="0" fontId="20" fillId="32" borderId="0" applyNumberFormat="0" applyBorder="0" applyAlignment="0" applyProtection="0">
      <alignment vertical="center"/>
    </xf>
    <xf numFmtId="0" fontId="21" fillId="33" borderId="0" applyNumberFormat="0" applyBorder="0" applyAlignment="0" applyProtection="0">
      <alignment vertical="center"/>
    </xf>
    <xf numFmtId="0" fontId="21" fillId="34" borderId="0" applyNumberFormat="0" applyBorder="0" applyAlignment="0" applyProtection="0">
      <alignment vertical="center"/>
    </xf>
    <xf numFmtId="0" fontId="20" fillId="35" borderId="0" applyNumberFormat="0" applyBorder="0" applyAlignment="0" applyProtection="0">
      <alignment vertical="center"/>
    </xf>
  </cellStyleXfs>
  <cellXfs count="54">
    <xf numFmtId="0" fontId="0" fillId="0" borderId="0" xfId="0"/>
    <xf numFmtId="0" fontId="1" fillId="2" borderId="1" xfId="0" applyFont="1" applyFill="1" applyBorder="1" applyAlignment="1">
      <alignment horizontal="center"/>
    </xf>
    <xf numFmtId="0" fontId="1" fillId="2" borderId="2" xfId="0" applyFont="1" applyFill="1" applyBorder="1" applyAlignment="1">
      <alignment horizontal="center"/>
    </xf>
    <xf numFmtId="0" fontId="1" fillId="2" borderId="3" xfId="0" applyFont="1" applyFill="1" applyBorder="1" applyAlignment="1">
      <alignment horizontal="center"/>
    </xf>
    <xf numFmtId="0" fontId="0" fillId="3" borderId="1" xfId="0" applyFill="1" applyBorder="1"/>
    <xf numFmtId="0" fontId="1" fillId="3" borderId="1" xfId="0" applyFont="1" applyFill="1" applyBorder="1"/>
    <xf numFmtId="0" fontId="1" fillId="3" borderId="1" xfId="0" applyFont="1" applyFill="1" applyBorder="1" applyAlignment="1">
      <alignment horizontal="center"/>
    </xf>
    <xf numFmtId="0" fontId="1" fillId="0" borderId="1" xfId="0" applyFont="1" applyBorder="1" applyAlignment="1">
      <alignment horizontal="center"/>
    </xf>
    <xf numFmtId="0" fontId="1" fillId="0" borderId="1" xfId="0" applyFont="1" applyBorder="1"/>
    <xf numFmtId="0" fontId="0" fillId="0" borderId="1" xfId="0" applyBorder="1"/>
    <xf numFmtId="0" fontId="0" fillId="0" borderId="1" xfId="0" applyBorder="1" applyAlignment="1">
      <alignment horizontal="center"/>
    </xf>
    <xf numFmtId="178" fontId="0" fillId="0" borderId="1" xfId="0" applyNumberFormat="1" applyBorder="1" applyAlignment="1">
      <alignment horizontal="left"/>
    </xf>
    <xf numFmtId="178" fontId="0" fillId="0" borderId="1" xfId="0" applyNumberFormat="1" applyFont="1" applyBorder="1" applyAlignment="1">
      <alignment horizontal="left"/>
    </xf>
    <xf numFmtId="179" fontId="0" fillId="0" borderId="0" xfId="0" applyNumberFormat="1"/>
    <xf numFmtId="0" fontId="1" fillId="3" borderId="1" xfId="0" applyFont="1" applyFill="1" applyBorder="1" applyAlignment="1">
      <alignment horizontal="center" vertical="center"/>
    </xf>
    <xf numFmtId="0" fontId="1" fillId="3" borderId="1" xfId="0" applyFont="1" applyFill="1" applyBorder="1" applyAlignment="1">
      <alignment horizontal="center" vertical="center" textRotation="90" wrapText="1"/>
    </xf>
    <xf numFmtId="0" fontId="1" fillId="0" borderId="1" xfId="0" applyFont="1" applyBorder="1" applyAlignment="1">
      <alignment horizontal="center" vertical="center"/>
    </xf>
    <xf numFmtId="0" fontId="0" fillId="0" borderId="1" xfId="0" applyBorder="1" applyAlignment="1">
      <alignment horizontal="center" vertical="center"/>
    </xf>
    <xf numFmtId="178" fontId="1" fillId="0" borderId="1" xfId="0" applyNumberFormat="1" applyFont="1" applyBorder="1" applyAlignment="1">
      <alignment horizontal="center" vertical="center"/>
    </xf>
    <xf numFmtId="178" fontId="0" fillId="0" borderId="1" xfId="0" applyNumberFormat="1" applyBorder="1" applyAlignment="1">
      <alignment horizontal="center" vertical="center"/>
    </xf>
    <xf numFmtId="0" fontId="0" fillId="4" borderId="1" xfId="0" applyFill="1" applyBorder="1" applyAlignment="1">
      <alignment horizontal="center"/>
    </xf>
    <xf numFmtId="0" fontId="0" fillId="4" borderId="1" xfId="0" applyFill="1" applyBorder="1"/>
    <xf numFmtId="178" fontId="0" fillId="4" borderId="1" xfId="0" applyNumberFormat="1" applyFill="1" applyBorder="1" applyAlignment="1">
      <alignment horizontal="center" vertical="center"/>
    </xf>
    <xf numFmtId="0" fontId="0" fillId="5" borderId="1" xfId="0" applyFill="1" applyBorder="1" applyAlignment="1">
      <alignment horizontal="center"/>
    </xf>
    <xf numFmtId="0" fontId="0" fillId="5" borderId="1" xfId="0" applyFill="1" applyBorder="1"/>
    <xf numFmtId="178" fontId="0" fillId="5" borderId="1" xfId="0" applyNumberFormat="1" applyFill="1" applyBorder="1" applyAlignment="1">
      <alignment horizontal="center" vertical="center"/>
    </xf>
    <xf numFmtId="58" fontId="1" fillId="3" borderId="1" xfId="0" applyNumberFormat="1" applyFont="1" applyFill="1" applyBorder="1" applyAlignment="1">
      <alignment horizontal="center" vertical="center" textRotation="90" wrapText="1"/>
    </xf>
    <xf numFmtId="58" fontId="0" fillId="0" borderId="1" xfId="0" applyNumberFormat="1" applyBorder="1" applyAlignment="1">
      <alignment horizontal="center" vertical="center"/>
    </xf>
    <xf numFmtId="0" fontId="0" fillId="3" borderId="1" xfId="0" applyFill="1" applyBorder="1" applyAlignment="1">
      <alignment horizontal="center" vertical="center"/>
    </xf>
    <xf numFmtId="178" fontId="1" fillId="3" borderId="1" xfId="0" applyNumberFormat="1" applyFont="1" applyFill="1" applyBorder="1" applyAlignment="1">
      <alignment horizontal="center" vertical="center"/>
    </xf>
    <xf numFmtId="180" fontId="0" fillId="0" borderId="0" xfId="0" applyNumberFormat="1"/>
    <xf numFmtId="178" fontId="1" fillId="4" borderId="1" xfId="0" applyNumberFormat="1" applyFont="1" applyFill="1" applyBorder="1" applyAlignment="1">
      <alignment horizontal="center" vertical="center"/>
    </xf>
    <xf numFmtId="178" fontId="1" fillId="5" borderId="1" xfId="0" applyNumberFormat="1" applyFont="1" applyFill="1" applyBorder="1" applyAlignment="1">
      <alignment horizontal="center" vertical="center"/>
    </xf>
    <xf numFmtId="178" fontId="0" fillId="0" borderId="0" xfId="0" applyNumberFormat="1"/>
    <xf numFmtId="0" fontId="1" fillId="3" borderId="4" xfId="0" applyFont="1" applyFill="1" applyBorder="1" applyAlignment="1">
      <alignment horizontal="center"/>
    </xf>
    <xf numFmtId="0" fontId="1" fillId="3" borderId="5" xfId="0" applyFont="1" applyFill="1" applyBorder="1" applyAlignment="1">
      <alignment horizontal="center"/>
    </xf>
    <xf numFmtId="0" fontId="1" fillId="3" borderId="6" xfId="0" applyFont="1" applyFill="1" applyBorder="1" applyAlignment="1">
      <alignment horizontal="center" vertical="center"/>
    </xf>
    <xf numFmtId="0" fontId="1" fillId="3" borderId="7" xfId="0" applyFont="1" applyFill="1" applyBorder="1" applyAlignment="1">
      <alignment horizontal="center"/>
    </xf>
    <xf numFmtId="0" fontId="1" fillId="3" borderId="8" xfId="0" applyFont="1" applyFill="1" applyBorder="1" applyAlignment="1">
      <alignment horizontal="center"/>
    </xf>
    <xf numFmtId="0" fontId="1" fillId="3" borderId="9" xfId="0" applyFont="1" applyFill="1" applyBorder="1" applyAlignment="1">
      <alignment horizontal="center" vertical="center"/>
    </xf>
    <xf numFmtId="0" fontId="1" fillId="3" borderId="0" xfId="0" applyFont="1" applyFill="1" applyAlignment="1">
      <alignment horizontal="center" vertical="center" textRotation="90" wrapText="1"/>
    </xf>
    <xf numFmtId="0" fontId="2" fillId="3" borderId="0" xfId="0" applyFont="1" applyFill="1" applyAlignment="1">
      <alignment horizontal="center" vertical="center" textRotation="90" wrapText="1"/>
    </xf>
    <xf numFmtId="0" fontId="2" fillId="3" borderId="1" xfId="0" applyFont="1" applyFill="1" applyBorder="1" applyAlignment="1">
      <alignment horizontal="center" vertical="center" textRotation="90" wrapText="1"/>
    </xf>
    <xf numFmtId="0" fontId="2" fillId="3" borderId="1" xfId="0" applyFont="1" applyFill="1" applyBorder="1" applyAlignment="1">
      <alignment vertical="center" textRotation="90" wrapText="1"/>
    </xf>
    <xf numFmtId="178" fontId="0" fillId="3" borderId="1" xfId="0" applyNumberFormat="1" applyFill="1" applyBorder="1" applyAlignment="1">
      <alignment horizontal="center" vertical="center"/>
    </xf>
    <xf numFmtId="178" fontId="1" fillId="3" borderId="1" xfId="0" applyNumberFormat="1" applyFont="1" applyFill="1" applyBorder="1" applyAlignment="1">
      <alignment horizontal="center"/>
    </xf>
    <xf numFmtId="9" fontId="0" fillId="0" borderId="1" xfId="0" applyNumberFormat="1" applyBorder="1" applyAlignment="1">
      <alignment horizontal="center"/>
    </xf>
    <xf numFmtId="178" fontId="0" fillId="0" borderId="1" xfId="0" applyNumberFormat="1" applyBorder="1" applyAlignment="1">
      <alignment horizontal="center"/>
    </xf>
    <xf numFmtId="178" fontId="0" fillId="5" borderId="1" xfId="0" applyNumberFormat="1" applyFill="1" applyBorder="1" applyAlignment="1">
      <alignment horizontal="center"/>
    </xf>
    <xf numFmtId="0" fontId="1" fillId="6" borderId="2" xfId="0" applyFont="1" applyFill="1" applyBorder="1" applyAlignment="1">
      <alignment horizontal="center"/>
    </xf>
    <xf numFmtId="0" fontId="1" fillId="6" borderId="10" xfId="0" applyFont="1" applyFill="1" applyBorder="1" applyAlignment="1">
      <alignment horizontal="center"/>
    </xf>
    <xf numFmtId="0" fontId="1" fillId="6" borderId="3" xfId="0" applyFont="1" applyFill="1" applyBorder="1" applyAlignment="1">
      <alignment horizontal="center"/>
    </xf>
    <xf numFmtId="178" fontId="1" fillId="6" borderId="1" xfId="0" applyNumberFormat="1" applyFont="1" applyFill="1" applyBorder="1" applyAlignment="1">
      <alignment horizontal="center"/>
    </xf>
    <xf numFmtId="0" fontId="1" fillId="6" borderId="1" xfId="0" applyFont="1" applyFill="1" applyBorder="1" applyAlignment="1">
      <alignment horizontal="center"/>
    </xf>
  </cellXfs>
  <cellStyles count="49">
    <cellStyle name="Normal" xfId="0" builtinId="0"/>
    <cellStyle name="Coma" xfId="1" builtinId="3"/>
    <cellStyle name="Moneda" xfId="2" builtinId="4"/>
    <cellStyle name="Porcentaje" xfId="3" builtinId="5"/>
    <cellStyle name="Coma [0]" xfId="4" builtinId="6"/>
    <cellStyle name="Moneda [0]" xfId="5" builtinId="7"/>
    <cellStyle name="Hipervínculo" xfId="6" builtinId="8"/>
    <cellStyle name="Hipervínculo visitado" xfId="7" builtinId="9"/>
    <cellStyle name="Nota" xfId="8" builtinId="10"/>
    <cellStyle name="Texto de advertencia" xfId="9" builtinId="11"/>
    <cellStyle name="Título" xfId="10" builtinId="15"/>
    <cellStyle name="Texto explicativo" xfId="11" builtinId="53"/>
    <cellStyle name="Título 1" xfId="12" builtinId="16"/>
    <cellStyle name="Título 2" xfId="13" builtinId="17"/>
    <cellStyle name="Título 3" xfId="14" builtinId="18"/>
    <cellStyle name="Título 4" xfId="15" builtinId="19"/>
    <cellStyle name="Entrada" xfId="16" builtinId="20"/>
    <cellStyle name="Salida" xfId="17" builtinId="21"/>
    <cellStyle name="Cálculo" xfId="18" builtinId="22"/>
    <cellStyle name="Celda de comprobación" xfId="19" builtinId="23"/>
    <cellStyle name="Celda vinculada" xfId="20" builtinId="24"/>
    <cellStyle name="Total" xfId="21" builtinId="25"/>
    <cellStyle name="Correcto" xfId="22" builtinId="26"/>
    <cellStyle name="Incorrecto" xfId="23" builtinId="27"/>
    <cellStyle name="Neutro" xfId="24" builtinId="28"/>
    <cellStyle name="Énfasis1" xfId="25" builtinId="29"/>
    <cellStyle name="20% - Énfasis1" xfId="26" builtinId="30"/>
    <cellStyle name="40% - Énfasis1" xfId="27" builtinId="31"/>
    <cellStyle name="60% - Énfasis1" xfId="28" builtinId="32"/>
    <cellStyle name="Énfasis2" xfId="29" builtinId="33"/>
    <cellStyle name="20% - Énfasis2" xfId="30" builtinId="34"/>
    <cellStyle name="40% - Énfasis2" xfId="31" builtinId="35"/>
    <cellStyle name="60% - Énfasis2" xfId="32" builtinId="36"/>
    <cellStyle name="Énfasis3" xfId="33" builtinId="37"/>
    <cellStyle name="20% - Énfasis3" xfId="34" builtinId="38"/>
    <cellStyle name="40% - Énfasis3" xfId="35" builtinId="39"/>
    <cellStyle name="60% - Énfasis3" xfId="36" builtinId="40"/>
    <cellStyle name="Énfasis4" xfId="37" builtinId="41"/>
    <cellStyle name="20% - Énfasis4" xfId="38" builtinId="42"/>
    <cellStyle name="40% - Énfasis4" xfId="39" builtinId="43"/>
    <cellStyle name="60% - Énfasis4" xfId="40" builtinId="44"/>
    <cellStyle name="Énfasis5" xfId="41" builtinId="45"/>
    <cellStyle name="20% - Énfasis5" xfId="42" builtinId="46"/>
    <cellStyle name="40% - Énfasis5" xfId="43" builtinId="47"/>
    <cellStyle name="60% - Énfasis5" xfId="44" builtinId="48"/>
    <cellStyle name="Énfasis6" xfId="45" builtinId="49"/>
    <cellStyle name="20% - Énfasis6" xfId="46" builtinId="50"/>
    <cellStyle name="40% - Énfasis6" xfId="47" builtinId="51"/>
    <cellStyle name="60% - Énfasis6" xfId="48" builtinId="52"/>
  </cellStyles>
  <tableStyles count="0" defaultTableStyle="TableStyleMedium2" defaultPivotStyle="PivotStyleLight16"/>
  <colors>
    <mruColors>
      <color rgb="00FF505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30"/>
  <sheetViews>
    <sheetView topLeftCell="C4" workbookViewId="0">
      <selection activeCell="J7" sqref="J7"/>
    </sheetView>
  </sheetViews>
  <sheetFormatPr defaultColWidth="9.14166666666667" defaultRowHeight="13.8"/>
  <cols>
    <col min="3" max="3" width="12.5666666666667" customWidth="1"/>
    <col min="4" max="4" width="34.8583333333333" customWidth="1"/>
    <col min="5" max="6" width="9.28333333333333" customWidth="1"/>
    <col min="7" max="7" width="17.5666666666667" customWidth="1"/>
    <col min="8" max="8" width="10" customWidth="1"/>
    <col min="9" max="9" width="8.625" customWidth="1"/>
    <col min="10" max="10" width="20.375" customWidth="1"/>
    <col min="11" max="11" width="11.125" customWidth="1"/>
    <col min="12" max="12" width="12.75" customWidth="1"/>
    <col min="13" max="13" width="35.5" customWidth="1"/>
  </cols>
  <sheetData>
    <row r="2" spans="2:13">
      <c r="B2" s="1" t="s">
        <v>0</v>
      </c>
      <c r="C2" s="1"/>
      <c r="D2" s="1"/>
      <c r="E2" s="1" t="s">
        <v>1</v>
      </c>
      <c r="F2" s="1"/>
      <c r="G2" s="1"/>
      <c r="H2" s="1"/>
      <c r="I2" s="1"/>
      <c r="J2" s="1"/>
      <c r="K2" s="1"/>
      <c r="L2" s="1"/>
      <c r="M2" s="1"/>
    </row>
    <row r="3" spans="2:13">
      <c r="B3" s="4"/>
      <c r="C3" s="4"/>
      <c r="D3" s="5" t="s">
        <v>2</v>
      </c>
      <c r="E3" s="6" t="s">
        <v>3</v>
      </c>
      <c r="F3" s="6" t="s">
        <v>4</v>
      </c>
      <c r="G3" s="6" t="s">
        <v>5</v>
      </c>
      <c r="H3" s="6" t="s">
        <v>6</v>
      </c>
      <c r="I3" s="6" t="s">
        <v>7</v>
      </c>
      <c r="J3" s="6" t="s">
        <v>8</v>
      </c>
      <c r="K3" s="6" t="s">
        <v>9</v>
      </c>
      <c r="L3" s="6" t="s">
        <v>10</v>
      </c>
      <c r="M3" s="6" t="s">
        <v>11</v>
      </c>
    </row>
    <row r="4" spans="2:13">
      <c r="B4" s="9"/>
      <c r="C4" s="9"/>
      <c r="D4" s="9" t="s">
        <v>12</v>
      </c>
      <c r="E4" s="46">
        <v>0.09</v>
      </c>
      <c r="F4" s="46">
        <v>0.09</v>
      </c>
      <c r="G4" s="46">
        <v>0.25</v>
      </c>
      <c r="H4" s="46">
        <v>0.07</v>
      </c>
      <c r="I4" s="46">
        <v>0.2</v>
      </c>
      <c r="J4" s="46">
        <v>0.2</v>
      </c>
      <c r="K4" s="46">
        <v>0.1</v>
      </c>
      <c r="L4" s="4"/>
      <c r="M4" s="9"/>
    </row>
    <row r="5" spans="2:13">
      <c r="B5" s="7" t="s">
        <v>13</v>
      </c>
      <c r="C5" s="7" t="s">
        <v>14</v>
      </c>
      <c r="D5" s="8" t="s">
        <v>15</v>
      </c>
      <c r="E5" s="9"/>
      <c r="F5" s="9"/>
      <c r="G5" s="9"/>
      <c r="H5" s="9"/>
      <c r="I5" s="9"/>
      <c r="J5" s="9"/>
      <c r="K5" s="9"/>
      <c r="L5" s="4"/>
      <c r="M5" s="9"/>
    </row>
    <row r="6" spans="2:13">
      <c r="B6" s="10">
        <v>1</v>
      </c>
      <c r="C6" s="10">
        <v>1045</v>
      </c>
      <c r="D6" t="s">
        <v>16</v>
      </c>
      <c r="E6" s="47">
        <v>9</v>
      </c>
      <c r="F6" s="47">
        <v>8</v>
      </c>
      <c r="G6" s="47">
        <v>0</v>
      </c>
      <c r="H6" s="47">
        <v>3</v>
      </c>
      <c r="I6" s="47">
        <f>Tareas!AE6</f>
        <v>0.952380952380952</v>
      </c>
      <c r="J6" s="47">
        <v>0</v>
      </c>
      <c r="K6" s="47">
        <v>0</v>
      </c>
      <c r="L6" s="45">
        <f>E6*0.09+F6*0.09+G8*0.25+H6*0.07+I6*0.2+J6*0.2+K6*0.1</f>
        <v>1.93047619047619</v>
      </c>
      <c r="M6" s="9"/>
    </row>
    <row r="7" spans="2:13">
      <c r="B7" s="10">
        <v>2</v>
      </c>
      <c r="C7" s="10">
        <v>1060</v>
      </c>
      <c r="D7" s="9" t="s">
        <v>17</v>
      </c>
      <c r="E7" s="47">
        <v>7</v>
      </c>
      <c r="F7" s="47">
        <v>8</v>
      </c>
      <c r="G7" s="47">
        <v>0</v>
      </c>
      <c r="H7" s="47">
        <v>6</v>
      </c>
      <c r="I7" s="47">
        <f>Tareas!AE7</f>
        <v>3.80952380952381</v>
      </c>
      <c r="J7" s="47" t="e">
        <f>#REF!*0.5+Cuaderno!AE7*0.5</f>
        <v>#REF!</v>
      </c>
      <c r="K7" s="47">
        <v>0</v>
      </c>
      <c r="L7" s="45" t="e">
        <f t="shared" ref="L7:L16" si="0">E7*0.09+F7*0.09+G7*0.25+H7*0.07+I7*0.2+J7*0.2+K7*0.1</f>
        <v>#REF!</v>
      </c>
      <c r="M7" s="9"/>
    </row>
    <row r="8" spans="2:13">
      <c r="B8" s="10">
        <v>3</v>
      </c>
      <c r="C8" s="10">
        <v>1108</v>
      </c>
      <c r="D8" s="9" t="s">
        <v>18</v>
      </c>
      <c r="E8" s="47">
        <v>8</v>
      </c>
      <c r="F8" s="47">
        <v>10</v>
      </c>
      <c r="G8" s="47">
        <v>0</v>
      </c>
      <c r="H8" s="47">
        <v>9</v>
      </c>
      <c r="I8" s="47">
        <f>Tareas!AE8</f>
        <v>1.9047619047619</v>
      </c>
      <c r="J8" s="47" t="e">
        <f>#REF!*0.5+Cuaderno!AE8*0.5</f>
        <v>#REF!</v>
      </c>
      <c r="K8" s="47">
        <v>0</v>
      </c>
      <c r="L8" s="45" t="e">
        <f t="shared" si="0"/>
        <v>#REF!</v>
      </c>
      <c r="M8" s="9"/>
    </row>
    <row r="9" spans="2:13">
      <c r="B9" s="10">
        <v>4</v>
      </c>
      <c r="C9" s="10">
        <v>876</v>
      </c>
      <c r="D9" s="9" t="s">
        <v>19</v>
      </c>
      <c r="E9" s="47">
        <v>10</v>
      </c>
      <c r="F9" s="47">
        <v>8.7</v>
      </c>
      <c r="G9" s="47">
        <v>0</v>
      </c>
      <c r="H9" s="47">
        <v>10</v>
      </c>
      <c r="I9" s="47">
        <f>Tareas!AE9</f>
        <v>2.38095238095238</v>
      </c>
      <c r="J9" s="47" t="e">
        <f>#REF!*0.5+Cuaderno!AE9*0.5</f>
        <v>#REF!</v>
      </c>
      <c r="K9" s="47">
        <v>0</v>
      </c>
      <c r="L9" s="45" t="e">
        <f t="shared" si="0"/>
        <v>#REF!</v>
      </c>
      <c r="M9" s="9"/>
    </row>
    <row r="10" spans="2:13">
      <c r="B10" s="10">
        <v>5</v>
      </c>
      <c r="C10" s="10">
        <v>639</v>
      </c>
      <c r="D10" s="9" t="s">
        <v>20</v>
      </c>
      <c r="E10" s="47">
        <v>10</v>
      </c>
      <c r="F10" s="47">
        <v>10</v>
      </c>
      <c r="G10" s="47">
        <v>0</v>
      </c>
      <c r="H10" s="47">
        <v>10</v>
      </c>
      <c r="I10" s="47">
        <f>Tareas!AE10</f>
        <v>2.85714285714286</v>
      </c>
      <c r="J10" s="47" t="e">
        <f>#REF!*0.5+Cuaderno!AE10*0.5</f>
        <v>#REF!</v>
      </c>
      <c r="K10" s="47">
        <v>0</v>
      </c>
      <c r="L10" s="45" t="e">
        <f t="shared" si="0"/>
        <v>#REF!</v>
      </c>
      <c r="M10" s="9"/>
    </row>
    <row r="11" spans="2:13">
      <c r="B11" s="10">
        <v>6</v>
      </c>
      <c r="C11" s="10">
        <v>1224</v>
      </c>
      <c r="D11" s="9" t="s">
        <v>21</v>
      </c>
      <c r="E11" s="47">
        <v>8</v>
      </c>
      <c r="F11" s="47">
        <v>4.7</v>
      </c>
      <c r="G11" s="47">
        <v>0</v>
      </c>
      <c r="H11" s="47">
        <v>8</v>
      </c>
      <c r="I11" s="47">
        <f>Tareas!AE11</f>
        <v>0.952380952380952</v>
      </c>
      <c r="J11" s="47" t="e">
        <f>#REF!*0.5+Cuaderno!AE11*0.5</f>
        <v>#REF!</v>
      </c>
      <c r="K11" s="47">
        <v>0</v>
      </c>
      <c r="L11" s="45" t="e">
        <f t="shared" si="0"/>
        <v>#REF!</v>
      </c>
      <c r="M11" s="9"/>
    </row>
    <row r="12" spans="2:13">
      <c r="B12" s="10">
        <v>7</v>
      </c>
      <c r="C12" s="10">
        <v>1069</v>
      </c>
      <c r="D12" s="9" t="s">
        <v>22</v>
      </c>
      <c r="E12" s="47">
        <v>9</v>
      </c>
      <c r="F12" s="47">
        <v>10</v>
      </c>
      <c r="G12" s="47">
        <v>0</v>
      </c>
      <c r="H12" s="47">
        <v>0</v>
      </c>
      <c r="I12" s="47">
        <f>Tareas!AE12</f>
        <v>4.76190476190476</v>
      </c>
      <c r="J12" s="47" t="e">
        <f>#REF!*0.5+Cuaderno!AE12*0.5</f>
        <v>#REF!</v>
      </c>
      <c r="K12" s="47">
        <v>0</v>
      </c>
      <c r="L12" s="45" t="e">
        <f t="shared" si="0"/>
        <v>#REF!</v>
      </c>
      <c r="M12" s="9"/>
    </row>
    <row r="13" spans="2:13">
      <c r="B13" s="10">
        <v>8</v>
      </c>
      <c r="C13" s="10">
        <v>1003</v>
      </c>
      <c r="D13" s="9" t="s">
        <v>23</v>
      </c>
      <c r="E13" s="47">
        <v>10</v>
      </c>
      <c r="F13" s="47">
        <v>6</v>
      </c>
      <c r="G13" s="47">
        <v>0</v>
      </c>
      <c r="H13" s="47">
        <v>9</v>
      </c>
      <c r="I13" s="47">
        <f>Tareas!AE13</f>
        <v>2.38095238095238</v>
      </c>
      <c r="J13" s="47" t="e">
        <f>#REF!*0.5+Cuaderno!AE13*0.5</f>
        <v>#REF!</v>
      </c>
      <c r="K13" s="47">
        <v>0</v>
      </c>
      <c r="L13" s="45" t="e">
        <f t="shared" si="0"/>
        <v>#REF!</v>
      </c>
      <c r="M13" s="9"/>
    </row>
    <row r="14" spans="2:13">
      <c r="B14" s="10">
        <v>9</v>
      </c>
      <c r="C14" s="10">
        <v>698</v>
      </c>
      <c r="D14" s="9" t="s">
        <v>24</v>
      </c>
      <c r="E14" s="47">
        <v>9</v>
      </c>
      <c r="F14" s="48">
        <v>0</v>
      </c>
      <c r="G14" s="47">
        <v>0</v>
      </c>
      <c r="H14" s="47">
        <v>8</v>
      </c>
      <c r="I14" s="47">
        <f>Tareas!AE14</f>
        <v>0.952380952380952</v>
      </c>
      <c r="J14" s="47" t="e">
        <f>#REF!*0.5+Cuaderno!AE14*0.5</f>
        <v>#REF!</v>
      </c>
      <c r="K14" s="47">
        <v>0</v>
      </c>
      <c r="L14" s="45" t="e">
        <f t="shared" si="0"/>
        <v>#REF!</v>
      </c>
      <c r="M14" s="9"/>
    </row>
    <row r="15" spans="2:13">
      <c r="B15" s="10">
        <v>10</v>
      </c>
      <c r="C15" s="10">
        <v>1004</v>
      </c>
      <c r="D15" s="9" t="s">
        <v>25</v>
      </c>
      <c r="E15" s="47">
        <v>8</v>
      </c>
      <c r="F15" s="47">
        <v>8</v>
      </c>
      <c r="G15" s="47">
        <v>0</v>
      </c>
      <c r="H15" s="47">
        <v>3</v>
      </c>
      <c r="I15" s="47">
        <f>Tareas!AE15</f>
        <v>0.952380952380952</v>
      </c>
      <c r="J15" s="47" t="e">
        <f>#REF!*0.5+Cuaderno!AE15*0.5</f>
        <v>#REF!</v>
      </c>
      <c r="K15" s="47">
        <v>0</v>
      </c>
      <c r="L15" s="45" t="e">
        <f t="shared" si="0"/>
        <v>#REF!</v>
      </c>
      <c r="M15" s="9"/>
    </row>
    <row r="16" spans="2:13">
      <c r="B16" s="10">
        <v>11</v>
      </c>
      <c r="C16" s="10">
        <v>1214</v>
      </c>
      <c r="D16" s="9" t="s">
        <v>26</v>
      </c>
      <c r="E16" s="47">
        <v>7</v>
      </c>
      <c r="F16" s="47">
        <v>6.7</v>
      </c>
      <c r="G16" s="47">
        <v>0</v>
      </c>
      <c r="H16" s="47">
        <v>8</v>
      </c>
      <c r="I16" s="47">
        <f>Tareas!AE16</f>
        <v>1.42857142857143</v>
      </c>
      <c r="J16" s="47" t="e">
        <f>#REF!*0.5+Cuaderno!AE16*0.5</f>
        <v>#REF!</v>
      </c>
      <c r="K16" s="47">
        <v>0</v>
      </c>
      <c r="L16" s="45" t="e">
        <f t="shared" si="0"/>
        <v>#REF!</v>
      </c>
      <c r="M16" s="9"/>
    </row>
    <row r="17" spans="2:13">
      <c r="B17" s="10">
        <v>12</v>
      </c>
      <c r="C17" s="10">
        <v>1083</v>
      </c>
      <c r="D17" s="9" t="s">
        <v>27</v>
      </c>
      <c r="E17" s="47">
        <v>9</v>
      </c>
      <c r="F17" s="47">
        <v>9.7</v>
      </c>
      <c r="G17" s="47">
        <v>0</v>
      </c>
      <c r="H17" s="47">
        <v>9</v>
      </c>
      <c r="I17" s="47">
        <f>Tareas!AE17</f>
        <v>1.9047619047619</v>
      </c>
      <c r="J17" s="47" t="e">
        <f>#REF!*0.5+Cuaderno!AE17*0.5</f>
        <v>#REF!</v>
      </c>
      <c r="K17" s="47">
        <v>0</v>
      </c>
      <c r="L17" s="45" t="e">
        <f t="shared" ref="L17:L29" si="1">E17*0.09+F17*0.09+G17*0.25+H17*0.07+I17*0.2+J17*0.2+K17*0.1</f>
        <v>#REF!</v>
      </c>
      <c r="M17" s="9"/>
    </row>
    <row r="18" spans="2:13">
      <c r="B18" s="10">
        <v>13</v>
      </c>
      <c r="C18" s="10">
        <v>1006</v>
      </c>
      <c r="D18" s="9" t="s">
        <v>28</v>
      </c>
      <c r="E18" s="47">
        <v>4</v>
      </c>
      <c r="F18" s="47">
        <v>9.3</v>
      </c>
      <c r="G18" s="47">
        <v>0</v>
      </c>
      <c r="H18" s="47">
        <v>6</v>
      </c>
      <c r="I18" s="47">
        <f>Tareas!AE18</f>
        <v>1.42857142857143</v>
      </c>
      <c r="J18" s="47" t="e">
        <f>#REF!*0.5+Cuaderno!AE18*0.5</f>
        <v>#REF!</v>
      </c>
      <c r="K18" s="47">
        <v>0</v>
      </c>
      <c r="L18" s="45" t="e">
        <f t="shared" si="1"/>
        <v>#REF!</v>
      </c>
      <c r="M18" s="9"/>
    </row>
    <row r="19" spans="2:13">
      <c r="B19" s="10">
        <v>14</v>
      </c>
      <c r="C19" s="10">
        <v>991</v>
      </c>
      <c r="D19" s="9" t="s">
        <v>29</v>
      </c>
      <c r="E19" s="47">
        <v>5</v>
      </c>
      <c r="F19" s="47">
        <v>8.7</v>
      </c>
      <c r="G19" s="47">
        <v>0</v>
      </c>
      <c r="H19" s="47">
        <v>9</v>
      </c>
      <c r="I19" s="47">
        <f>Tareas!AE19</f>
        <v>1.9047619047619</v>
      </c>
      <c r="J19" s="47" t="e">
        <f>#REF!*0.5+Cuaderno!AE19*0.5</f>
        <v>#REF!</v>
      </c>
      <c r="K19" s="47">
        <v>0</v>
      </c>
      <c r="L19" s="45" t="e">
        <f t="shared" si="1"/>
        <v>#REF!</v>
      </c>
      <c r="M19" s="9"/>
    </row>
    <row r="20" spans="2:13">
      <c r="B20" s="10">
        <v>15</v>
      </c>
      <c r="C20" s="10">
        <v>1006</v>
      </c>
      <c r="D20" s="9" t="s">
        <v>30</v>
      </c>
      <c r="E20" s="47">
        <v>7</v>
      </c>
      <c r="F20" s="47">
        <v>10</v>
      </c>
      <c r="G20" s="47">
        <v>0</v>
      </c>
      <c r="H20" s="47">
        <v>0</v>
      </c>
      <c r="I20" s="47">
        <f>Tareas!AE20</f>
        <v>0.952380952380952</v>
      </c>
      <c r="J20" s="47" t="e">
        <f>#REF!*0.5+Cuaderno!AE20*0.5</f>
        <v>#REF!</v>
      </c>
      <c r="K20" s="47">
        <v>0</v>
      </c>
      <c r="L20" s="45" t="e">
        <f t="shared" si="1"/>
        <v>#REF!</v>
      </c>
      <c r="M20" s="9"/>
    </row>
    <row r="21" spans="2:13">
      <c r="B21" s="10">
        <v>16</v>
      </c>
      <c r="C21" s="10">
        <v>1035</v>
      </c>
      <c r="D21" s="9" t="s">
        <v>31</v>
      </c>
      <c r="E21" s="47">
        <v>6</v>
      </c>
      <c r="F21" s="47">
        <v>8</v>
      </c>
      <c r="G21" s="47">
        <v>0</v>
      </c>
      <c r="H21" s="47">
        <v>4</v>
      </c>
      <c r="I21" s="47">
        <f>Tareas!AE21</f>
        <v>0.952380952380952</v>
      </c>
      <c r="J21" s="47" t="e">
        <f>#REF!*0.5+Cuaderno!AE21*0.5</f>
        <v>#REF!</v>
      </c>
      <c r="K21" s="47">
        <v>0</v>
      </c>
      <c r="L21" s="45" t="e">
        <f t="shared" si="1"/>
        <v>#REF!</v>
      </c>
      <c r="M21" s="9"/>
    </row>
    <row r="22" spans="2:13">
      <c r="B22" s="10">
        <v>17</v>
      </c>
      <c r="C22" s="10">
        <v>1088</v>
      </c>
      <c r="D22" s="9" t="s">
        <v>32</v>
      </c>
      <c r="E22" s="47">
        <v>9</v>
      </c>
      <c r="F22" s="47">
        <v>10</v>
      </c>
      <c r="G22" s="47">
        <v>0</v>
      </c>
      <c r="H22" s="47">
        <v>9</v>
      </c>
      <c r="I22" s="47">
        <f>Tareas!AE22</f>
        <v>1.42857142857143</v>
      </c>
      <c r="J22" s="47" t="e">
        <f>#REF!*0.5+Cuaderno!AE22*0.5</f>
        <v>#REF!</v>
      </c>
      <c r="K22" s="47">
        <v>0</v>
      </c>
      <c r="L22" s="45" t="e">
        <f t="shared" si="1"/>
        <v>#REF!</v>
      </c>
      <c r="M22" s="9"/>
    </row>
    <row r="23" spans="2:13">
      <c r="B23" s="10">
        <v>18</v>
      </c>
      <c r="C23" s="10">
        <v>1016</v>
      </c>
      <c r="D23" s="9" t="s">
        <v>33</v>
      </c>
      <c r="E23" s="48">
        <v>0</v>
      </c>
      <c r="F23" s="48">
        <v>0</v>
      </c>
      <c r="G23" s="47">
        <v>0</v>
      </c>
      <c r="H23" s="47">
        <v>7</v>
      </c>
      <c r="I23" s="47">
        <f>Tareas!AE23</f>
        <v>0.952380952380952</v>
      </c>
      <c r="J23" s="47" t="e">
        <f>#REF!*0.5+Cuaderno!AE23*0.5</f>
        <v>#REF!</v>
      </c>
      <c r="K23" s="47">
        <v>0</v>
      </c>
      <c r="L23" s="45" t="e">
        <f t="shared" si="1"/>
        <v>#REF!</v>
      </c>
      <c r="M23" s="9"/>
    </row>
    <row r="24" spans="2:13">
      <c r="B24" s="10">
        <v>19</v>
      </c>
      <c r="C24" s="10">
        <v>1062</v>
      </c>
      <c r="D24" s="9" t="s">
        <v>34</v>
      </c>
      <c r="E24" s="47">
        <v>8</v>
      </c>
      <c r="F24" s="47">
        <v>9.3</v>
      </c>
      <c r="G24" s="47">
        <v>0</v>
      </c>
      <c r="H24" s="47">
        <v>3</v>
      </c>
      <c r="I24" s="47">
        <f>Tareas!AE24</f>
        <v>1.42857142857143</v>
      </c>
      <c r="J24" s="47" t="e">
        <f>#REF!*0.5+Cuaderno!AE24*0.5</f>
        <v>#REF!</v>
      </c>
      <c r="K24" s="47">
        <v>0</v>
      </c>
      <c r="L24" s="45" t="e">
        <f t="shared" si="1"/>
        <v>#REF!</v>
      </c>
      <c r="M24" s="9"/>
    </row>
    <row r="25" spans="2:13">
      <c r="B25" s="10">
        <v>20</v>
      </c>
      <c r="C25" s="10">
        <v>1029</v>
      </c>
      <c r="D25" s="9" t="s">
        <v>35</v>
      </c>
      <c r="E25" s="47">
        <v>9</v>
      </c>
      <c r="F25" s="47">
        <v>8.7</v>
      </c>
      <c r="G25" s="47">
        <v>0</v>
      </c>
      <c r="H25" s="47">
        <v>8</v>
      </c>
      <c r="I25" s="47">
        <f>Tareas!AE25</f>
        <v>0.952380952380952</v>
      </c>
      <c r="J25" s="47" t="e">
        <f>#REF!*0.5+Cuaderno!AE25*0.5</f>
        <v>#REF!</v>
      </c>
      <c r="K25" s="47">
        <v>0</v>
      </c>
      <c r="L25" s="45" t="e">
        <f t="shared" si="1"/>
        <v>#REF!</v>
      </c>
      <c r="M25" s="9"/>
    </row>
    <row r="26" spans="2:13">
      <c r="B26" s="10">
        <v>21</v>
      </c>
      <c r="C26" s="10">
        <v>994</v>
      </c>
      <c r="D26" s="9" t="s">
        <v>36</v>
      </c>
      <c r="E26" s="47">
        <v>8</v>
      </c>
      <c r="F26" s="47">
        <v>5.3</v>
      </c>
      <c r="G26" s="47">
        <v>0</v>
      </c>
      <c r="H26" s="47">
        <v>10</v>
      </c>
      <c r="I26" s="47">
        <f>Tareas!AE26</f>
        <v>3.80952380952381</v>
      </c>
      <c r="J26" s="47" t="e">
        <f>#REF!*0.5+Cuaderno!AE26*0.5</f>
        <v>#REF!</v>
      </c>
      <c r="K26" s="47">
        <v>0</v>
      </c>
      <c r="L26" s="45" t="e">
        <f t="shared" si="1"/>
        <v>#REF!</v>
      </c>
      <c r="M26" s="9"/>
    </row>
    <row r="27" spans="2:13">
      <c r="B27" s="10">
        <v>22</v>
      </c>
      <c r="C27" s="10">
        <v>799</v>
      </c>
      <c r="D27" s="9" t="s">
        <v>37</v>
      </c>
      <c r="E27" s="47">
        <v>9</v>
      </c>
      <c r="F27" s="47">
        <v>9.3</v>
      </c>
      <c r="G27" s="47">
        <v>0</v>
      </c>
      <c r="H27" s="47">
        <v>7</v>
      </c>
      <c r="I27" s="47">
        <f>Tareas!AE27</f>
        <v>0.952380952380952</v>
      </c>
      <c r="J27" s="47" t="e">
        <f>#REF!*0.5+Cuaderno!AE27*0.5</f>
        <v>#REF!</v>
      </c>
      <c r="K27" s="47">
        <v>0</v>
      </c>
      <c r="L27" s="45" t="e">
        <f t="shared" si="1"/>
        <v>#REF!</v>
      </c>
      <c r="M27" s="9"/>
    </row>
    <row r="28" spans="2:13">
      <c r="B28" s="10">
        <v>23</v>
      </c>
      <c r="C28" s="10">
        <v>1091</v>
      </c>
      <c r="D28" s="9" t="s">
        <v>38</v>
      </c>
      <c r="E28" s="48">
        <v>0</v>
      </c>
      <c r="F28" s="47">
        <v>3.3</v>
      </c>
      <c r="G28" s="47">
        <v>0</v>
      </c>
      <c r="H28" s="47">
        <v>10</v>
      </c>
      <c r="I28" s="47">
        <f>Tareas!AE28</f>
        <v>2.38095238095238</v>
      </c>
      <c r="J28" s="47" t="e">
        <f>#REF!*0.5+Cuaderno!AE28*0.5</f>
        <v>#REF!</v>
      </c>
      <c r="K28" s="47">
        <v>0</v>
      </c>
      <c r="L28" s="45" t="e">
        <f t="shared" si="1"/>
        <v>#REF!</v>
      </c>
      <c r="M28" s="9"/>
    </row>
    <row r="29" spans="2:13">
      <c r="B29" s="10">
        <v>24</v>
      </c>
      <c r="C29" s="10">
        <v>1221</v>
      </c>
      <c r="D29" s="9" t="s">
        <v>39</v>
      </c>
      <c r="E29" s="47">
        <v>10</v>
      </c>
      <c r="F29" s="47">
        <v>6.7</v>
      </c>
      <c r="G29" s="47">
        <v>0</v>
      </c>
      <c r="H29" s="47">
        <v>7</v>
      </c>
      <c r="I29" s="47">
        <f>Tareas!AE29</f>
        <v>3.80952380952381</v>
      </c>
      <c r="J29" s="47" t="e">
        <f>#REF!*0.5+Cuaderno!AE29*0.5</f>
        <v>#REF!</v>
      </c>
      <c r="K29" s="47">
        <v>0</v>
      </c>
      <c r="L29" s="45" t="e">
        <f t="shared" si="1"/>
        <v>#REF!</v>
      </c>
      <c r="M29" s="9"/>
    </row>
    <row r="30" spans="2:13">
      <c r="B30" s="49" t="s">
        <v>40</v>
      </c>
      <c r="C30" s="50"/>
      <c r="D30" s="51"/>
      <c r="E30" s="52">
        <f t="shared" ref="E30:L30" si="2">AVERAGE(E6:E29)</f>
        <v>7.45833333333333</v>
      </c>
      <c r="F30" s="52">
        <f t="shared" si="2"/>
        <v>7.43333333333333</v>
      </c>
      <c r="G30" s="52">
        <f t="shared" si="2"/>
        <v>0</v>
      </c>
      <c r="H30" s="52">
        <f t="shared" si="2"/>
        <v>6.79166666666667</v>
      </c>
      <c r="I30" s="52">
        <f t="shared" si="2"/>
        <v>1.92460317460317</v>
      </c>
      <c r="J30" s="52" t="e">
        <f t="shared" si="2"/>
        <v>#REF!</v>
      </c>
      <c r="K30" s="52">
        <f t="shared" si="2"/>
        <v>0</v>
      </c>
      <c r="L30" s="52" t="e">
        <f t="shared" si="2"/>
        <v>#REF!</v>
      </c>
      <c r="M30" s="53"/>
    </row>
  </sheetData>
  <mergeCells count="3">
    <mergeCell ref="B2:D2"/>
    <mergeCell ref="E2:M2"/>
    <mergeCell ref="B30:D30"/>
  </mergeCells>
  <pageMargins left="0.7" right="0.7" top="0.75" bottom="0.75" header="0.3" footer="0.3"/>
  <pageSetup paperSize="1"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E29"/>
  <sheetViews>
    <sheetView topLeftCell="E3" workbookViewId="0">
      <selection activeCell="D10" sqref="D10"/>
    </sheetView>
  </sheetViews>
  <sheetFormatPr defaultColWidth="9.14166666666667" defaultRowHeight="13.8"/>
  <cols>
    <col min="3" max="3" width="12.5666666666667" customWidth="1"/>
    <col min="4" max="4" width="34.8583333333333" customWidth="1"/>
    <col min="5" max="5" width="6.70833333333333" customWidth="1"/>
    <col min="6" max="6" width="4.85833333333333" customWidth="1"/>
    <col min="7" max="14" width="6.70833333333333" customWidth="1"/>
    <col min="15" max="15" width="4.85833333333333" customWidth="1"/>
    <col min="16" max="17" width="6.70833333333333" customWidth="1"/>
    <col min="18" max="19" width="4.85833333333333" customWidth="1"/>
    <col min="20" max="20" width="6.70833333333333" customWidth="1"/>
    <col min="21" max="21" width="6.56666666666667" customWidth="1"/>
    <col min="22" max="23" width="6.70833333333333" customWidth="1"/>
    <col min="24" max="24" width="4.85833333333333" customWidth="1"/>
    <col min="25" max="25" width="6.70833333333333" customWidth="1"/>
    <col min="26" max="30" width="6.425" customWidth="1"/>
    <col min="31" max="31" width="12.425" customWidth="1"/>
  </cols>
  <sheetData>
    <row r="2" spans="2:31">
      <c r="B2" s="1" t="s">
        <v>0</v>
      </c>
      <c r="C2" s="1"/>
      <c r="D2" s="1"/>
      <c r="E2" s="1" t="s">
        <v>1</v>
      </c>
      <c r="F2" s="1"/>
      <c r="G2" s="1"/>
      <c r="H2" s="1"/>
      <c r="I2" s="1"/>
      <c r="J2" s="1"/>
      <c r="K2" s="1"/>
      <c r="L2" s="1"/>
      <c r="M2" s="1"/>
      <c r="N2" s="1"/>
      <c r="O2" s="1"/>
      <c r="P2" s="1"/>
      <c r="Q2" s="1"/>
      <c r="R2" s="1"/>
      <c r="S2" s="1"/>
      <c r="T2" s="1"/>
      <c r="U2" s="1"/>
      <c r="V2" s="1"/>
      <c r="W2" s="1"/>
      <c r="X2" s="1"/>
      <c r="Y2" s="1"/>
      <c r="Z2" s="1"/>
      <c r="AA2" s="1"/>
      <c r="AB2" s="1"/>
      <c r="AC2" s="1"/>
      <c r="AD2" s="1"/>
      <c r="AE2" s="1"/>
    </row>
    <row r="3" ht="131.25" customHeight="1" spans="2:31">
      <c r="B3" s="34"/>
      <c r="C3" s="35"/>
      <c r="D3" s="36" t="s">
        <v>41</v>
      </c>
      <c r="E3" s="15" t="s">
        <v>42</v>
      </c>
      <c r="F3" s="15" t="s">
        <v>43</v>
      </c>
      <c r="G3" s="15" t="s">
        <v>44</v>
      </c>
      <c r="H3" s="15" t="s">
        <v>45</v>
      </c>
      <c r="I3" s="15" t="s">
        <v>46</v>
      </c>
      <c r="J3" s="15" t="s">
        <v>47</v>
      </c>
      <c r="K3" s="15" t="s">
        <v>48</v>
      </c>
      <c r="L3" s="15" t="s">
        <v>49</v>
      </c>
      <c r="M3" s="15" t="s">
        <v>50</v>
      </c>
      <c r="N3" s="40" t="s">
        <v>51</v>
      </c>
      <c r="O3" s="15" t="s">
        <v>52</v>
      </c>
      <c r="P3" s="15" t="s">
        <v>53</v>
      </c>
      <c r="Q3" s="15" t="s">
        <v>54</v>
      </c>
      <c r="R3" s="15" t="s">
        <v>55</v>
      </c>
      <c r="S3" s="15" t="s">
        <v>56</v>
      </c>
      <c r="T3" s="15" t="s">
        <v>57</v>
      </c>
      <c r="U3" s="15" t="s">
        <v>58</v>
      </c>
      <c r="V3" s="15" t="s">
        <v>59</v>
      </c>
      <c r="W3" s="15" t="s">
        <v>60</v>
      </c>
      <c r="X3" s="15" t="s">
        <v>61</v>
      </c>
      <c r="Y3" s="15" t="s">
        <v>62</v>
      </c>
      <c r="Z3" s="41" t="s">
        <v>63</v>
      </c>
      <c r="AA3" s="42" t="s">
        <v>64</v>
      </c>
      <c r="AB3" s="42" t="s">
        <v>65</v>
      </c>
      <c r="AC3" s="43" t="s">
        <v>66</v>
      </c>
      <c r="AD3" s="41" t="s">
        <v>67</v>
      </c>
      <c r="AE3" s="6"/>
    </row>
    <row r="4" spans="2:31">
      <c r="B4" s="37"/>
      <c r="C4" s="38"/>
      <c r="D4" s="39"/>
      <c r="E4" s="6">
        <v>1</v>
      </c>
      <c r="F4" s="6">
        <v>2</v>
      </c>
      <c r="G4" s="6">
        <v>3</v>
      </c>
      <c r="H4" s="6">
        <v>4</v>
      </c>
      <c r="I4" s="6">
        <v>5</v>
      </c>
      <c r="J4" s="6">
        <v>6</v>
      </c>
      <c r="K4" s="6">
        <v>7</v>
      </c>
      <c r="L4" s="6">
        <v>8</v>
      </c>
      <c r="M4" s="6">
        <v>9</v>
      </c>
      <c r="N4" s="6">
        <v>10</v>
      </c>
      <c r="O4" s="6">
        <v>11</v>
      </c>
      <c r="P4" s="6">
        <v>12</v>
      </c>
      <c r="Q4" s="6">
        <v>13</v>
      </c>
      <c r="R4" s="6">
        <v>14</v>
      </c>
      <c r="S4" s="6">
        <v>15</v>
      </c>
      <c r="T4" s="6">
        <v>16</v>
      </c>
      <c r="U4" s="6">
        <v>17</v>
      </c>
      <c r="V4" s="6">
        <v>18</v>
      </c>
      <c r="W4" s="6">
        <v>19</v>
      </c>
      <c r="X4" s="6">
        <v>20</v>
      </c>
      <c r="Y4" s="6">
        <v>21</v>
      </c>
      <c r="Z4" s="6">
        <v>22</v>
      </c>
      <c r="AA4" s="6">
        <v>23</v>
      </c>
      <c r="AB4" s="6">
        <v>24</v>
      </c>
      <c r="AC4" s="6">
        <v>25</v>
      </c>
      <c r="AD4" s="6">
        <v>26</v>
      </c>
      <c r="AE4" s="6" t="s">
        <v>10</v>
      </c>
    </row>
    <row r="5" spans="2:31">
      <c r="B5" s="7" t="s">
        <v>13</v>
      </c>
      <c r="C5" s="7" t="s">
        <v>14</v>
      </c>
      <c r="D5" s="8" t="s">
        <v>15</v>
      </c>
      <c r="E5" s="17"/>
      <c r="F5" s="17"/>
      <c r="G5" s="17"/>
      <c r="H5" s="17"/>
      <c r="I5" s="17"/>
      <c r="J5" s="17"/>
      <c r="K5" s="17"/>
      <c r="L5" s="17"/>
      <c r="M5" s="17"/>
      <c r="N5" s="17"/>
      <c r="O5" s="17"/>
      <c r="P5" s="17"/>
      <c r="Q5" s="17"/>
      <c r="R5" s="17"/>
      <c r="S5" s="17"/>
      <c r="T5" s="17"/>
      <c r="U5" s="17"/>
      <c r="V5" s="17"/>
      <c r="W5" s="17"/>
      <c r="X5" s="17"/>
      <c r="Y5" s="17"/>
      <c r="Z5" s="28"/>
      <c r="AA5" s="17"/>
      <c r="AB5" s="17"/>
      <c r="AC5" s="17"/>
      <c r="AD5" s="17"/>
      <c r="AE5" s="4"/>
    </row>
    <row r="6" spans="2:31">
      <c r="B6" s="10">
        <v>1</v>
      </c>
      <c r="C6" s="10">
        <v>1045</v>
      </c>
      <c r="D6" t="s">
        <v>16</v>
      </c>
      <c r="E6" s="18">
        <v>0</v>
      </c>
      <c r="F6" s="18">
        <v>0</v>
      </c>
      <c r="G6" s="18">
        <v>0</v>
      </c>
      <c r="H6" s="18">
        <v>0</v>
      </c>
      <c r="I6" s="18">
        <v>0</v>
      </c>
      <c r="J6" s="18">
        <v>0</v>
      </c>
      <c r="K6" s="18">
        <v>0</v>
      </c>
      <c r="L6" s="19">
        <v>10</v>
      </c>
      <c r="M6" s="18">
        <v>0</v>
      </c>
      <c r="N6" s="18">
        <v>0</v>
      </c>
      <c r="O6" s="18">
        <v>0</v>
      </c>
      <c r="P6" s="18">
        <v>0</v>
      </c>
      <c r="Q6" s="19">
        <v>10</v>
      </c>
      <c r="R6" s="18">
        <v>0</v>
      </c>
      <c r="S6" s="18">
        <v>0</v>
      </c>
      <c r="T6" s="18">
        <v>0</v>
      </c>
      <c r="U6" s="18">
        <v>0</v>
      </c>
      <c r="V6" s="18">
        <v>0</v>
      </c>
      <c r="W6" s="18">
        <v>0</v>
      </c>
      <c r="X6" s="18">
        <v>0</v>
      </c>
      <c r="Y6" s="18">
        <v>0</v>
      </c>
      <c r="Z6" s="44"/>
      <c r="AA6" s="19"/>
      <c r="AB6" s="19"/>
      <c r="AC6" s="19"/>
      <c r="AD6" s="19"/>
      <c r="AE6" s="45">
        <f t="shared" ref="AE6:AE29" si="0">AVERAGE(E6:AD6)</f>
        <v>0.952380952380952</v>
      </c>
    </row>
    <row r="7" spans="2:31">
      <c r="B7" s="10">
        <v>2</v>
      </c>
      <c r="C7" s="10">
        <v>1060</v>
      </c>
      <c r="D7" s="9" t="s">
        <v>17</v>
      </c>
      <c r="E7" s="18">
        <v>0</v>
      </c>
      <c r="F7" s="19">
        <v>10</v>
      </c>
      <c r="G7" s="18">
        <v>0</v>
      </c>
      <c r="H7" s="18">
        <v>0</v>
      </c>
      <c r="I7" s="18">
        <v>0</v>
      </c>
      <c r="J7" s="18">
        <v>0</v>
      </c>
      <c r="K7" s="18">
        <v>0</v>
      </c>
      <c r="L7" s="19">
        <v>10</v>
      </c>
      <c r="M7" s="18">
        <v>0</v>
      </c>
      <c r="N7" s="19">
        <v>10</v>
      </c>
      <c r="O7" s="19">
        <v>10</v>
      </c>
      <c r="P7" s="19">
        <v>10</v>
      </c>
      <c r="Q7" s="19">
        <v>10</v>
      </c>
      <c r="R7" s="18">
        <v>0</v>
      </c>
      <c r="S7" s="19">
        <v>10</v>
      </c>
      <c r="T7" s="18">
        <v>0</v>
      </c>
      <c r="U7" s="18">
        <v>0</v>
      </c>
      <c r="V7" s="18">
        <v>0</v>
      </c>
      <c r="W7" s="18">
        <v>0</v>
      </c>
      <c r="X7" s="19">
        <v>10</v>
      </c>
      <c r="Y7" s="18">
        <v>0</v>
      </c>
      <c r="Z7" s="44"/>
      <c r="AA7" s="19"/>
      <c r="AB7" s="19"/>
      <c r="AC7" s="19"/>
      <c r="AD7" s="19"/>
      <c r="AE7" s="45">
        <f t="shared" si="0"/>
        <v>3.80952380952381</v>
      </c>
    </row>
    <row r="8" spans="2:31">
      <c r="B8" s="20">
        <v>3</v>
      </c>
      <c r="C8" s="20">
        <v>1108</v>
      </c>
      <c r="D8" s="21" t="s">
        <v>18</v>
      </c>
      <c r="E8" s="31">
        <v>0</v>
      </c>
      <c r="F8" s="31">
        <v>0</v>
      </c>
      <c r="G8" s="22">
        <v>10</v>
      </c>
      <c r="H8" s="31">
        <v>0</v>
      </c>
      <c r="I8" s="31">
        <v>0</v>
      </c>
      <c r="J8" s="31">
        <v>0</v>
      </c>
      <c r="K8" s="22">
        <v>10</v>
      </c>
      <c r="L8" s="22">
        <v>10</v>
      </c>
      <c r="M8" s="22">
        <v>0</v>
      </c>
      <c r="N8" s="22">
        <v>0</v>
      </c>
      <c r="O8" s="22">
        <v>0</v>
      </c>
      <c r="P8" s="22">
        <v>0</v>
      </c>
      <c r="Q8" s="22">
        <v>10</v>
      </c>
      <c r="R8" s="22">
        <v>0</v>
      </c>
      <c r="S8" s="22">
        <v>0</v>
      </c>
      <c r="T8" s="22">
        <v>0</v>
      </c>
      <c r="U8" s="22">
        <v>0</v>
      </c>
      <c r="V8" s="22">
        <v>0</v>
      </c>
      <c r="W8" s="22">
        <v>0</v>
      </c>
      <c r="X8" s="22">
        <v>0</v>
      </c>
      <c r="Y8" s="22">
        <v>0</v>
      </c>
      <c r="Z8" s="44"/>
      <c r="AA8" s="19"/>
      <c r="AB8" s="19"/>
      <c r="AC8" s="19"/>
      <c r="AD8" s="19"/>
      <c r="AE8" s="45">
        <f t="shared" si="0"/>
        <v>1.9047619047619</v>
      </c>
    </row>
    <row r="9" spans="2:31">
      <c r="B9" s="10">
        <v>4</v>
      </c>
      <c r="C9" s="10">
        <v>876</v>
      </c>
      <c r="D9" s="9" t="s">
        <v>19</v>
      </c>
      <c r="E9" s="19">
        <v>10</v>
      </c>
      <c r="F9" s="18">
        <v>0</v>
      </c>
      <c r="G9" s="18">
        <v>0</v>
      </c>
      <c r="H9" s="18">
        <v>0</v>
      </c>
      <c r="I9" s="18">
        <v>0</v>
      </c>
      <c r="J9" s="18">
        <v>0</v>
      </c>
      <c r="K9" s="18">
        <v>0</v>
      </c>
      <c r="L9" s="19">
        <v>10</v>
      </c>
      <c r="M9" s="18">
        <v>0</v>
      </c>
      <c r="N9" s="18">
        <v>0</v>
      </c>
      <c r="O9" s="18">
        <v>0</v>
      </c>
      <c r="P9" s="18">
        <v>0</v>
      </c>
      <c r="Q9" s="19">
        <v>10</v>
      </c>
      <c r="R9" s="18">
        <v>0</v>
      </c>
      <c r="S9" s="18">
        <v>0</v>
      </c>
      <c r="T9" s="18">
        <v>0</v>
      </c>
      <c r="U9" s="18">
        <v>0</v>
      </c>
      <c r="V9" s="19">
        <v>10</v>
      </c>
      <c r="W9" s="18">
        <v>0</v>
      </c>
      <c r="X9" s="18">
        <v>0</v>
      </c>
      <c r="Y9" s="19">
        <v>10</v>
      </c>
      <c r="Z9" s="44"/>
      <c r="AA9" s="19"/>
      <c r="AB9" s="19"/>
      <c r="AC9" s="19"/>
      <c r="AD9" s="19"/>
      <c r="AE9" s="45">
        <f t="shared" si="0"/>
        <v>2.38095238095238</v>
      </c>
    </row>
    <row r="10" spans="2:31">
      <c r="B10" s="10">
        <v>5</v>
      </c>
      <c r="C10" s="10">
        <v>639</v>
      </c>
      <c r="D10" s="9" t="s">
        <v>20</v>
      </c>
      <c r="E10" s="18">
        <v>0</v>
      </c>
      <c r="F10" s="18">
        <v>0</v>
      </c>
      <c r="G10" s="19">
        <v>10</v>
      </c>
      <c r="H10" s="18">
        <v>0</v>
      </c>
      <c r="I10" s="18">
        <v>0</v>
      </c>
      <c r="J10" s="18">
        <v>0</v>
      </c>
      <c r="K10" s="18">
        <v>0</v>
      </c>
      <c r="L10" s="19">
        <v>10</v>
      </c>
      <c r="M10" s="19">
        <v>10</v>
      </c>
      <c r="N10" s="18">
        <v>0</v>
      </c>
      <c r="O10" s="18">
        <v>0</v>
      </c>
      <c r="P10" s="18">
        <v>0</v>
      </c>
      <c r="Q10" s="19">
        <v>10</v>
      </c>
      <c r="R10" s="19">
        <v>10</v>
      </c>
      <c r="S10" s="18">
        <v>0</v>
      </c>
      <c r="T10" s="18">
        <v>0</v>
      </c>
      <c r="U10" s="18">
        <v>0</v>
      </c>
      <c r="V10" s="18">
        <v>0</v>
      </c>
      <c r="W10" s="18">
        <v>0</v>
      </c>
      <c r="X10" s="18">
        <v>0</v>
      </c>
      <c r="Y10" s="19">
        <v>10</v>
      </c>
      <c r="Z10" s="44"/>
      <c r="AA10" s="19"/>
      <c r="AB10" s="19"/>
      <c r="AC10" s="19"/>
      <c r="AD10" s="19"/>
      <c r="AE10" s="45">
        <f t="shared" si="0"/>
        <v>2.85714285714286</v>
      </c>
    </row>
    <row r="11" spans="2:31">
      <c r="B11" s="10">
        <v>6</v>
      </c>
      <c r="C11" s="10">
        <v>1224</v>
      </c>
      <c r="D11" s="9" t="s">
        <v>21</v>
      </c>
      <c r="E11" s="18">
        <v>0</v>
      </c>
      <c r="F11" s="18">
        <v>0</v>
      </c>
      <c r="G11" s="18">
        <v>0</v>
      </c>
      <c r="H11" s="18">
        <v>0</v>
      </c>
      <c r="I11" s="18">
        <v>0</v>
      </c>
      <c r="J11" s="18">
        <v>0</v>
      </c>
      <c r="K11" s="18">
        <v>0</v>
      </c>
      <c r="L11" s="19">
        <v>10</v>
      </c>
      <c r="M11" s="18">
        <v>0</v>
      </c>
      <c r="N11" s="18">
        <v>0</v>
      </c>
      <c r="O11" s="18">
        <v>0</v>
      </c>
      <c r="P11" s="18">
        <v>0</v>
      </c>
      <c r="Q11" s="19">
        <v>10</v>
      </c>
      <c r="R11" s="18">
        <v>0</v>
      </c>
      <c r="S11" s="18">
        <v>0</v>
      </c>
      <c r="T11" s="18">
        <v>0</v>
      </c>
      <c r="U11" s="18">
        <v>0</v>
      </c>
      <c r="V11" s="18">
        <v>0</v>
      </c>
      <c r="W11" s="18">
        <v>0</v>
      </c>
      <c r="X11" s="18">
        <v>0</v>
      </c>
      <c r="Y11" s="18">
        <v>0</v>
      </c>
      <c r="Z11" s="44"/>
      <c r="AA11" s="19"/>
      <c r="AB11" s="19"/>
      <c r="AC11" s="19"/>
      <c r="AD11" s="19"/>
      <c r="AE11" s="45">
        <f t="shared" si="0"/>
        <v>0.952380952380952</v>
      </c>
    </row>
    <row r="12" spans="2:31">
      <c r="B12" s="10">
        <v>7</v>
      </c>
      <c r="C12" s="10">
        <v>1069</v>
      </c>
      <c r="D12" s="9" t="s">
        <v>22</v>
      </c>
      <c r="E12" s="18">
        <v>0</v>
      </c>
      <c r="F12" s="19">
        <v>10</v>
      </c>
      <c r="G12" s="18">
        <v>0</v>
      </c>
      <c r="H12" s="18">
        <v>0</v>
      </c>
      <c r="I12" s="18">
        <v>0</v>
      </c>
      <c r="J12" s="18">
        <v>0</v>
      </c>
      <c r="K12" s="19">
        <v>10</v>
      </c>
      <c r="L12" s="19">
        <v>10</v>
      </c>
      <c r="M12" s="18">
        <v>0</v>
      </c>
      <c r="N12" s="19">
        <v>10</v>
      </c>
      <c r="O12" s="19">
        <v>10</v>
      </c>
      <c r="P12" s="19">
        <v>10</v>
      </c>
      <c r="Q12" s="19">
        <v>10</v>
      </c>
      <c r="R12" s="19">
        <v>10</v>
      </c>
      <c r="S12" s="18">
        <v>0</v>
      </c>
      <c r="T12" s="18">
        <v>0</v>
      </c>
      <c r="U12" s="18">
        <v>0</v>
      </c>
      <c r="V12" s="18">
        <v>0</v>
      </c>
      <c r="W12" s="18">
        <v>0</v>
      </c>
      <c r="X12" s="19">
        <v>10</v>
      </c>
      <c r="Y12" s="19">
        <v>10</v>
      </c>
      <c r="Z12" s="44"/>
      <c r="AA12" s="19"/>
      <c r="AB12" s="19"/>
      <c r="AC12" s="19"/>
      <c r="AD12" s="19"/>
      <c r="AE12" s="45">
        <f t="shared" si="0"/>
        <v>4.76190476190476</v>
      </c>
    </row>
    <row r="13" spans="2:31">
      <c r="B13" s="10">
        <v>8</v>
      </c>
      <c r="C13" s="10">
        <v>1003</v>
      </c>
      <c r="D13" s="9" t="s">
        <v>23</v>
      </c>
      <c r="E13" s="18">
        <v>0</v>
      </c>
      <c r="F13" s="18">
        <v>0</v>
      </c>
      <c r="G13" s="19">
        <v>10</v>
      </c>
      <c r="H13" s="18">
        <v>0</v>
      </c>
      <c r="I13" s="18">
        <v>0</v>
      </c>
      <c r="J13" s="18">
        <v>0</v>
      </c>
      <c r="K13" s="18">
        <v>0</v>
      </c>
      <c r="L13" s="19">
        <v>10</v>
      </c>
      <c r="M13" s="18">
        <v>0</v>
      </c>
      <c r="N13" s="18">
        <v>0</v>
      </c>
      <c r="O13" s="18">
        <v>0</v>
      </c>
      <c r="P13" s="18">
        <v>0</v>
      </c>
      <c r="Q13" s="19">
        <v>10</v>
      </c>
      <c r="R13" s="18">
        <v>0</v>
      </c>
      <c r="S13" s="18">
        <v>0</v>
      </c>
      <c r="T13" s="18">
        <v>0</v>
      </c>
      <c r="U13" s="18">
        <v>0</v>
      </c>
      <c r="V13" s="19">
        <v>10</v>
      </c>
      <c r="W13" s="18">
        <v>0</v>
      </c>
      <c r="X13" s="18">
        <v>0</v>
      </c>
      <c r="Y13" s="19">
        <v>10</v>
      </c>
      <c r="Z13" s="44"/>
      <c r="AA13" s="19"/>
      <c r="AB13" s="19"/>
      <c r="AC13" s="19"/>
      <c r="AD13" s="19"/>
      <c r="AE13" s="45">
        <f t="shared" si="0"/>
        <v>2.38095238095238</v>
      </c>
    </row>
    <row r="14" spans="2:31">
      <c r="B14" s="20">
        <v>9</v>
      </c>
      <c r="C14" s="20">
        <v>698</v>
      </c>
      <c r="D14" s="21" t="s">
        <v>24</v>
      </c>
      <c r="E14" s="22">
        <v>0</v>
      </c>
      <c r="F14" s="22">
        <v>0</v>
      </c>
      <c r="G14" s="22">
        <v>0</v>
      </c>
      <c r="H14" s="22">
        <v>0</v>
      </c>
      <c r="I14" s="22">
        <v>0</v>
      </c>
      <c r="J14" s="22">
        <v>0</v>
      </c>
      <c r="K14" s="22">
        <v>0</v>
      </c>
      <c r="L14" s="22">
        <v>10</v>
      </c>
      <c r="M14" s="22">
        <v>0</v>
      </c>
      <c r="N14" s="22">
        <v>0</v>
      </c>
      <c r="O14" s="22">
        <v>0</v>
      </c>
      <c r="P14" s="22">
        <v>0</v>
      </c>
      <c r="Q14" s="22">
        <v>10</v>
      </c>
      <c r="R14" s="22">
        <v>0</v>
      </c>
      <c r="S14" s="22">
        <v>0</v>
      </c>
      <c r="T14" s="22">
        <v>0</v>
      </c>
      <c r="U14" s="22">
        <v>0</v>
      </c>
      <c r="V14" s="22">
        <v>0</v>
      </c>
      <c r="W14" s="22">
        <v>0</v>
      </c>
      <c r="X14" s="22">
        <v>0</v>
      </c>
      <c r="Y14" s="22">
        <v>0</v>
      </c>
      <c r="Z14" s="44"/>
      <c r="AA14" s="19"/>
      <c r="AB14" s="19"/>
      <c r="AC14" s="19"/>
      <c r="AD14" s="19"/>
      <c r="AE14" s="45">
        <f t="shared" si="0"/>
        <v>0.952380952380952</v>
      </c>
    </row>
    <row r="15" spans="2:31">
      <c r="B15" s="10">
        <v>10</v>
      </c>
      <c r="C15" s="10">
        <v>1004</v>
      </c>
      <c r="D15" s="9" t="s">
        <v>25</v>
      </c>
      <c r="E15" s="18">
        <v>0</v>
      </c>
      <c r="F15" s="18">
        <v>0</v>
      </c>
      <c r="G15" s="18">
        <v>0</v>
      </c>
      <c r="H15" s="18">
        <v>0</v>
      </c>
      <c r="I15" s="18">
        <v>0</v>
      </c>
      <c r="J15" s="18">
        <v>0</v>
      </c>
      <c r="K15" s="18">
        <v>0</v>
      </c>
      <c r="L15" s="19">
        <v>10</v>
      </c>
      <c r="M15" s="18">
        <v>0</v>
      </c>
      <c r="N15" s="18">
        <v>0</v>
      </c>
      <c r="O15" s="18">
        <v>0</v>
      </c>
      <c r="P15" s="18">
        <v>0</v>
      </c>
      <c r="Q15" s="19">
        <v>10</v>
      </c>
      <c r="R15" s="18">
        <v>0</v>
      </c>
      <c r="S15" s="18">
        <v>0</v>
      </c>
      <c r="T15" s="18">
        <v>0</v>
      </c>
      <c r="U15" s="18">
        <v>0</v>
      </c>
      <c r="V15" s="18">
        <v>0</v>
      </c>
      <c r="W15" s="18">
        <v>0</v>
      </c>
      <c r="X15" s="18">
        <v>0</v>
      </c>
      <c r="Y15" s="18">
        <v>0</v>
      </c>
      <c r="Z15" s="44"/>
      <c r="AA15" s="19"/>
      <c r="AB15" s="19"/>
      <c r="AC15" s="19"/>
      <c r="AD15" s="19"/>
      <c r="AE15" s="45">
        <f t="shared" si="0"/>
        <v>0.952380952380952</v>
      </c>
    </row>
    <row r="16" spans="2:31">
      <c r="B16" s="10">
        <v>11</v>
      </c>
      <c r="C16" s="10">
        <v>1214</v>
      </c>
      <c r="D16" s="9" t="s">
        <v>26</v>
      </c>
      <c r="E16" s="18">
        <v>0</v>
      </c>
      <c r="F16" s="18">
        <v>0</v>
      </c>
      <c r="G16" s="18">
        <v>0</v>
      </c>
      <c r="H16" s="18">
        <v>0</v>
      </c>
      <c r="I16" s="18">
        <v>0</v>
      </c>
      <c r="J16" s="18">
        <v>0</v>
      </c>
      <c r="K16" s="18">
        <v>0</v>
      </c>
      <c r="L16" s="19">
        <v>10</v>
      </c>
      <c r="M16" s="18">
        <v>0</v>
      </c>
      <c r="N16" s="18">
        <v>0</v>
      </c>
      <c r="O16" s="18">
        <v>0</v>
      </c>
      <c r="P16" s="18">
        <v>0</v>
      </c>
      <c r="Q16" s="19">
        <v>10</v>
      </c>
      <c r="R16" s="18">
        <v>0</v>
      </c>
      <c r="S16" s="18">
        <v>0</v>
      </c>
      <c r="T16" s="18">
        <v>0</v>
      </c>
      <c r="U16" s="18">
        <v>0</v>
      </c>
      <c r="V16" s="18">
        <v>0</v>
      </c>
      <c r="W16" s="18">
        <v>0</v>
      </c>
      <c r="X16" s="18">
        <v>0</v>
      </c>
      <c r="Y16" s="19">
        <v>10</v>
      </c>
      <c r="Z16" s="44"/>
      <c r="AA16" s="19"/>
      <c r="AB16" s="19"/>
      <c r="AC16" s="19"/>
      <c r="AD16" s="19"/>
      <c r="AE16" s="45">
        <f t="shared" si="0"/>
        <v>1.42857142857143</v>
      </c>
    </row>
    <row r="17" spans="2:31">
      <c r="B17" s="10">
        <v>12</v>
      </c>
      <c r="C17" s="10">
        <v>1083</v>
      </c>
      <c r="D17" s="9" t="s">
        <v>27</v>
      </c>
      <c r="E17" s="18">
        <v>0</v>
      </c>
      <c r="F17" s="18">
        <v>0</v>
      </c>
      <c r="G17" s="18">
        <v>0</v>
      </c>
      <c r="H17" s="18">
        <v>0</v>
      </c>
      <c r="I17" s="18">
        <v>0</v>
      </c>
      <c r="J17" s="18">
        <v>0</v>
      </c>
      <c r="K17" s="18">
        <v>0</v>
      </c>
      <c r="L17" s="19">
        <v>10</v>
      </c>
      <c r="M17" s="19">
        <v>10</v>
      </c>
      <c r="N17" s="18">
        <v>0</v>
      </c>
      <c r="O17" s="18">
        <v>0</v>
      </c>
      <c r="P17" s="18">
        <v>0</v>
      </c>
      <c r="Q17" s="19">
        <v>10</v>
      </c>
      <c r="R17" s="18">
        <v>0</v>
      </c>
      <c r="S17" s="18">
        <v>0</v>
      </c>
      <c r="T17" s="18">
        <v>0</v>
      </c>
      <c r="U17" s="18">
        <v>0</v>
      </c>
      <c r="V17" s="18">
        <v>0</v>
      </c>
      <c r="W17" s="18">
        <v>0</v>
      </c>
      <c r="X17" s="18">
        <v>0</v>
      </c>
      <c r="Y17" s="19">
        <v>10</v>
      </c>
      <c r="Z17" s="44"/>
      <c r="AA17" s="19"/>
      <c r="AB17" s="19"/>
      <c r="AC17" s="19"/>
      <c r="AD17" s="19"/>
      <c r="AE17" s="45">
        <f t="shared" si="0"/>
        <v>1.9047619047619</v>
      </c>
    </row>
    <row r="18" spans="2:31">
      <c r="B18" s="10">
        <v>13</v>
      </c>
      <c r="C18" s="10">
        <v>1006</v>
      </c>
      <c r="D18" s="9" t="s">
        <v>28</v>
      </c>
      <c r="E18" s="18">
        <v>0</v>
      </c>
      <c r="F18" s="18">
        <v>0</v>
      </c>
      <c r="G18" s="18">
        <v>0</v>
      </c>
      <c r="H18" s="18">
        <v>0</v>
      </c>
      <c r="I18" s="18">
        <v>0</v>
      </c>
      <c r="J18" s="18">
        <v>0</v>
      </c>
      <c r="K18" s="18">
        <v>0</v>
      </c>
      <c r="L18" s="19">
        <v>10</v>
      </c>
      <c r="M18" s="18">
        <v>0</v>
      </c>
      <c r="N18" s="18">
        <v>0</v>
      </c>
      <c r="O18" s="18">
        <v>0</v>
      </c>
      <c r="P18" s="18">
        <v>0</v>
      </c>
      <c r="Q18" s="19">
        <v>10</v>
      </c>
      <c r="R18" s="18">
        <v>0</v>
      </c>
      <c r="S18" s="18">
        <v>0</v>
      </c>
      <c r="T18" s="18">
        <v>0</v>
      </c>
      <c r="U18" s="18">
        <v>0</v>
      </c>
      <c r="V18" s="18">
        <v>0</v>
      </c>
      <c r="W18" s="18">
        <v>0</v>
      </c>
      <c r="X18" s="18">
        <v>0</v>
      </c>
      <c r="Y18" s="19">
        <v>10</v>
      </c>
      <c r="Z18" s="44"/>
      <c r="AA18" s="19"/>
      <c r="AB18" s="19"/>
      <c r="AC18" s="19"/>
      <c r="AD18" s="19"/>
      <c r="AE18" s="45">
        <f t="shared" si="0"/>
        <v>1.42857142857143</v>
      </c>
    </row>
    <row r="19" spans="2:31">
      <c r="B19" s="10">
        <v>14</v>
      </c>
      <c r="C19" s="10">
        <v>991</v>
      </c>
      <c r="D19" s="9" t="s">
        <v>29</v>
      </c>
      <c r="E19" s="18">
        <v>0</v>
      </c>
      <c r="F19" s="18">
        <v>0</v>
      </c>
      <c r="G19" s="19">
        <v>10</v>
      </c>
      <c r="H19" s="18">
        <v>0</v>
      </c>
      <c r="I19" s="18">
        <v>0</v>
      </c>
      <c r="J19" s="18">
        <v>0</v>
      </c>
      <c r="K19" s="19">
        <v>10</v>
      </c>
      <c r="L19" s="19">
        <v>10</v>
      </c>
      <c r="M19" s="18">
        <v>0</v>
      </c>
      <c r="N19" s="18">
        <v>0</v>
      </c>
      <c r="O19" s="18">
        <v>0</v>
      </c>
      <c r="P19" s="18">
        <v>0</v>
      </c>
      <c r="Q19" s="19">
        <v>10</v>
      </c>
      <c r="R19" s="18">
        <v>0</v>
      </c>
      <c r="S19" s="18">
        <v>0</v>
      </c>
      <c r="T19" s="18">
        <v>0</v>
      </c>
      <c r="U19" s="18">
        <v>0</v>
      </c>
      <c r="V19" s="18">
        <v>0</v>
      </c>
      <c r="W19" s="18">
        <v>0</v>
      </c>
      <c r="X19" s="18">
        <v>0</v>
      </c>
      <c r="Y19" s="18">
        <v>0</v>
      </c>
      <c r="Z19" s="44"/>
      <c r="AA19" s="19"/>
      <c r="AB19" s="19"/>
      <c r="AC19" s="19"/>
      <c r="AD19" s="19"/>
      <c r="AE19" s="45">
        <f t="shared" si="0"/>
        <v>1.9047619047619</v>
      </c>
    </row>
    <row r="20" spans="2:31">
      <c r="B20" s="23">
        <v>15</v>
      </c>
      <c r="C20" s="23">
        <v>1006</v>
      </c>
      <c r="D20" s="24" t="s">
        <v>30</v>
      </c>
      <c r="E20" s="25">
        <v>0</v>
      </c>
      <c r="F20" s="25">
        <v>0</v>
      </c>
      <c r="G20" s="25">
        <v>0</v>
      </c>
      <c r="H20" s="25">
        <v>0</v>
      </c>
      <c r="I20" s="25">
        <v>0</v>
      </c>
      <c r="J20" s="25">
        <v>0</v>
      </c>
      <c r="K20" s="25">
        <v>0</v>
      </c>
      <c r="L20" s="25">
        <v>10</v>
      </c>
      <c r="M20" s="25">
        <v>0</v>
      </c>
      <c r="N20" s="25">
        <v>0</v>
      </c>
      <c r="O20" s="25">
        <v>0</v>
      </c>
      <c r="P20" s="25">
        <v>0</v>
      </c>
      <c r="Q20" s="25">
        <v>10</v>
      </c>
      <c r="R20" s="25">
        <v>0</v>
      </c>
      <c r="S20" s="25">
        <v>0</v>
      </c>
      <c r="T20" s="25">
        <v>0</v>
      </c>
      <c r="U20" s="25">
        <v>0</v>
      </c>
      <c r="V20" s="25">
        <v>0</v>
      </c>
      <c r="W20" s="25">
        <v>0</v>
      </c>
      <c r="X20" s="25">
        <v>0</v>
      </c>
      <c r="Y20" s="25">
        <v>0</v>
      </c>
      <c r="Z20" s="44"/>
      <c r="AA20" s="19"/>
      <c r="AB20" s="19"/>
      <c r="AC20" s="19"/>
      <c r="AD20" s="19"/>
      <c r="AE20" s="45">
        <f t="shared" si="0"/>
        <v>0.952380952380952</v>
      </c>
    </row>
    <row r="21" spans="2:31">
      <c r="B21" s="23">
        <v>16</v>
      </c>
      <c r="C21" s="23">
        <v>1035</v>
      </c>
      <c r="D21" s="24" t="s">
        <v>31</v>
      </c>
      <c r="E21" s="25">
        <v>0</v>
      </c>
      <c r="F21" s="25">
        <v>0</v>
      </c>
      <c r="G21" s="25">
        <v>0</v>
      </c>
      <c r="H21" s="25">
        <v>0</v>
      </c>
      <c r="I21" s="25">
        <v>0</v>
      </c>
      <c r="J21" s="25">
        <v>0</v>
      </c>
      <c r="K21" s="25">
        <v>0</v>
      </c>
      <c r="L21" s="25">
        <v>10</v>
      </c>
      <c r="M21" s="25">
        <v>0</v>
      </c>
      <c r="N21" s="25">
        <v>0</v>
      </c>
      <c r="O21" s="25">
        <v>0</v>
      </c>
      <c r="P21" s="25">
        <v>0</v>
      </c>
      <c r="Q21" s="25">
        <v>10</v>
      </c>
      <c r="R21" s="25">
        <v>0</v>
      </c>
      <c r="S21" s="25">
        <v>0</v>
      </c>
      <c r="T21" s="25">
        <v>0</v>
      </c>
      <c r="U21" s="25">
        <v>0</v>
      </c>
      <c r="V21" s="25">
        <v>0</v>
      </c>
      <c r="W21" s="25">
        <v>0</v>
      </c>
      <c r="X21" s="25">
        <v>0</v>
      </c>
      <c r="Y21" s="25">
        <v>0</v>
      </c>
      <c r="Z21" s="44"/>
      <c r="AA21" s="19"/>
      <c r="AB21" s="19"/>
      <c r="AC21" s="19"/>
      <c r="AD21" s="19"/>
      <c r="AE21" s="45">
        <f t="shared" si="0"/>
        <v>0.952380952380952</v>
      </c>
    </row>
    <row r="22" spans="2:31">
      <c r="B22" s="10">
        <v>17</v>
      </c>
      <c r="C22" s="10">
        <v>1088</v>
      </c>
      <c r="D22" s="9" t="s">
        <v>32</v>
      </c>
      <c r="E22" s="18">
        <v>0</v>
      </c>
      <c r="F22" s="18">
        <v>0</v>
      </c>
      <c r="G22" s="18">
        <v>0</v>
      </c>
      <c r="H22" s="18">
        <v>0</v>
      </c>
      <c r="I22" s="18">
        <v>0</v>
      </c>
      <c r="J22" s="18">
        <v>0</v>
      </c>
      <c r="K22" s="18">
        <v>0</v>
      </c>
      <c r="L22" s="19">
        <v>10</v>
      </c>
      <c r="M22" s="18">
        <v>0</v>
      </c>
      <c r="N22" s="18">
        <v>0</v>
      </c>
      <c r="O22" s="18">
        <v>0</v>
      </c>
      <c r="P22" s="18">
        <v>0</v>
      </c>
      <c r="Q22" s="19">
        <v>10</v>
      </c>
      <c r="R22" s="18">
        <v>0</v>
      </c>
      <c r="S22" s="18">
        <v>0</v>
      </c>
      <c r="T22" s="18">
        <v>0</v>
      </c>
      <c r="U22" s="18">
        <v>0</v>
      </c>
      <c r="V22" s="18">
        <v>0</v>
      </c>
      <c r="W22" s="18">
        <v>0</v>
      </c>
      <c r="X22" s="18">
        <v>0</v>
      </c>
      <c r="Y22" s="19">
        <v>10</v>
      </c>
      <c r="Z22" s="44"/>
      <c r="AA22" s="19"/>
      <c r="AB22" s="19"/>
      <c r="AC22" s="19"/>
      <c r="AD22" s="19"/>
      <c r="AE22" s="45">
        <f t="shared" si="0"/>
        <v>1.42857142857143</v>
      </c>
    </row>
    <row r="23" spans="2:31">
      <c r="B23" s="20">
        <v>18</v>
      </c>
      <c r="C23" s="20">
        <v>1016</v>
      </c>
      <c r="D23" s="21" t="s">
        <v>33</v>
      </c>
      <c r="E23" s="22">
        <v>0</v>
      </c>
      <c r="F23" s="22">
        <v>0</v>
      </c>
      <c r="G23" s="22">
        <v>0</v>
      </c>
      <c r="H23" s="22">
        <v>0</v>
      </c>
      <c r="I23" s="22">
        <v>0</v>
      </c>
      <c r="J23" s="22">
        <v>0</v>
      </c>
      <c r="K23" s="22">
        <v>0</v>
      </c>
      <c r="L23" s="22">
        <v>10</v>
      </c>
      <c r="M23" s="22">
        <v>0</v>
      </c>
      <c r="N23" s="22">
        <v>0</v>
      </c>
      <c r="O23" s="22">
        <v>0</v>
      </c>
      <c r="P23" s="22">
        <v>0</v>
      </c>
      <c r="Q23" s="22">
        <v>10</v>
      </c>
      <c r="R23" s="22">
        <v>0</v>
      </c>
      <c r="S23" s="22">
        <v>0</v>
      </c>
      <c r="T23" s="22">
        <v>0</v>
      </c>
      <c r="U23" s="22">
        <v>0</v>
      </c>
      <c r="V23" s="22">
        <v>0</v>
      </c>
      <c r="W23" s="22">
        <v>0</v>
      </c>
      <c r="X23" s="22">
        <v>0</v>
      </c>
      <c r="Y23" s="22">
        <v>0</v>
      </c>
      <c r="Z23" s="44"/>
      <c r="AA23" s="19"/>
      <c r="AB23" s="19"/>
      <c r="AC23" s="19"/>
      <c r="AD23" s="19"/>
      <c r="AE23" s="45">
        <f t="shared" si="0"/>
        <v>0.952380952380952</v>
      </c>
    </row>
    <row r="24" spans="2:31">
      <c r="B24" s="10">
        <v>19</v>
      </c>
      <c r="C24" s="10">
        <v>1062</v>
      </c>
      <c r="D24" s="9" t="s">
        <v>34</v>
      </c>
      <c r="E24" s="18">
        <v>0</v>
      </c>
      <c r="F24" s="18">
        <v>0</v>
      </c>
      <c r="G24" s="18">
        <v>0</v>
      </c>
      <c r="H24" s="18">
        <v>0</v>
      </c>
      <c r="I24" s="18">
        <v>0</v>
      </c>
      <c r="J24" s="18">
        <v>0</v>
      </c>
      <c r="K24" s="18">
        <v>0</v>
      </c>
      <c r="L24" s="19">
        <v>10</v>
      </c>
      <c r="M24" s="18">
        <v>0</v>
      </c>
      <c r="N24" s="18">
        <v>0</v>
      </c>
      <c r="O24" s="18">
        <v>0</v>
      </c>
      <c r="P24" s="18">
        <v>0</v>
      </c>
      <c r="Q24" s="19">
        <v>10</v>
      </c>
      <c r="R24" s="18">
        <v>0</v>
      </c>
      <c r="S24" s="18">
        <v>0</v>
      </c>
      <c r="T24" s="18">
        <v>0</v>
      </c>
      <c r="U24" s="18">
        <v>0</v>
      </c>
      <c r="V24" s="18">
        <v>0</v>
      </c>
      <c r="W24" s="18">
        <v>0</v>
      </c>
      <c r="X24" s="18">
        <v>0</v>
      </c>
      <c r="Y24" s="19">
        <v>10</v>
      </c>
      <c r="Z24" s="44"/>
      <c r="AA24" s="19"/>
      <c r="AB24" s="19"/>
      <c r="AC24" s="19"/>
      <c r="AD24" s="19"/>
      <c r="AE24" s="45">
        <f t="shared" si="0"/>
        <v>1.42857142857143</v>
      </c>
    </row>
    <row r="25" spans="2:31">
      <c r="B25" s="23">
        <v>20</v>
      </c>
      <c r="C25" s="23">
        <v>1029</v>
      </c>
      <c r="D25" s="24" t="s">
        <v>35</v>
      </c>
      <c r="E25" s="25">
        <v>0</v>
      </c>
      <c r="F25" s="25">
        <v>0</v>
      </c>
      <c r="G25" s="25">
        <v>0</v>
      </c>
      <c r="H25" s="25">
        <v>0</v>
      </c>
      <c r="I25" s="25">
        <v>0</v>
      </c>
      <c r="J25" s="25">
        <v>0</v>
      </c>
      <c r="K25" s="25">
        <v>0</v>
      </c>
      <c r="L25" s="25">
        <v>10</v>
      </c>
      <c r="M25" s="25">
        <v>0</v>
      </c>
      <c r="N25" s="25">
        <v>0</v>
      </c>
      <c r="O25" s="25">
        <v>0</v>
      </c>
      <c r="P25" s="25">
        <v>0</v>
      </c>
      <c r="Q25" s="25">
        <v>10</v>
      </c>
      <c r="R25" s="25">
        <v>0</v>
      </c>
      <c r="S25" s="25">
        <v>0</v>
      </c>
      <c r="T25" s="25">
        <v>0</v>
      </c>
      <c r="U25" s="25">
        <v>0</v>
      </c>
      <c r="V25" s="25">
        <v>0</v>
      </c>
      <c r="W25" s="25">
        <v>0</v>
      </c>
      <c r="X25" s="25">
        <v>0</v>
      </c>
      <c r="Y25" s="25">
        <v>0</v>
      </c>
      <c r="Z25" s="44"/>
      <c r="AA25" s="19"/>
      <c r="AB25" s="19"/>
      <c r="AC25" s="19"/>
      <c r="AD25" s="19"/>
      <c r="AE25" s="45">
        <f t="shared" si="0"/>
        <v>0.952380952380952</v>
      </c>
    </row>
    <row r="26" spans="2:31">
      <c r="B26" s="10">
        <v>21</v>
      </c>
      <c r="C26" s="10">
        <v>994</v>
      </c>
      <c r="D26" s="9" t="s">
        <v>36</v>
      </c>
      <c r="E26" s="19">
        <v>10</v>
      </c>
      <c r="F26" s="18">
        <v>0</v>
      </c>
      <c r="G26" s="18">
        <v>0</v>
      </c>
      <c r="H26" s="18">
        <v>0</v>
      </c>
      <c r="I26" s="18">
        <v>0</v>
      </c>
      <c r="J26" s="18">
        <v>0</v>
      </c>
      <c r="K26" s="18">
        <v>0</v>
      </c>
      <c r="L26" s="19">
        <v>10</v>
      </c>
      <c r="M26" s="18">
        <v>0</v>
      </c>
      <c r="N26" s="18">
        <v>0</v>
      </c>
      <c r="O26" s="18">
        <v>0</v>
      </c>
      <c r="P26" s="18">
        <v>0</v>
      </c>
      <c r="Q26" s="19">
        <v>10</v>
      </c>
      <c r="R26" s="19">
        <v>10</v>
      </c>
      <c r="S26" s="19">
        <v>10</v>
      </c>
      <c r="T26" s="18">
        <v>0</v>
      </c>
      <c r="U26" s="18">
        <v>0</v>
      </c>
      <c r="V26" s="19">
        <v>10</v>
      </c>
      <c r="W26" s="18">
        <v>0</v>
      </c>
      <c r="X26" s="19">
        <v>10</v>
      </c>
      <c r="Y26" s="19">
        <v>10</v>
      </c>
      <c r="Z26" s="44"/>
      <c r="AA26" s="19"/>
      <c r="AB26" s="19"/>
      <c r="AC26" s="19"/>
      <c r="AD26" s="19"/>
      <c r="AE26" s="45">
        <f t="shared" si="0"/>
        <v>3.80952380952381</v>
      </c>
    </row>
    <row r="27" spans="2:31">
      <c r="B27" s="10">
        <v>22</v>
      </c>
      <c r="C27" s="10">
        <v>799</v>
      </c>
      <c r="D27" s="9" t="s">
        <v>37</v>
      </c>
      <c r="E27" s="18">
        <v>0</v>
      </c>
      <c r="F27" s="18">
        <v>0</v>
      </c>
      <c r="G27" s="18">
        <v>0</v>
      </c>
      <c r="H27" s="18">
        <v>0</v>
      </c>
      <c r="I27" s="18">
        <v>0</v>
      </c>
      <c r="J27" s="18">
        <v>0</v>
      </c>
      <c r="K27" s="18">
        <v>0</v>
      </c>
      <c r="L27" s="19">
        <v>10</v>
      </c>
      <c r="M27" s="18">
        <v>0</v>
      </c>
      <c r="N27" s="18">
        <v>0</v>
      </c>
      <c r="O27" s="18">
        <v>0</v>
      </c>
      <c r="P27" s="18">
        <v>0</v>
      </c>
      <c r="Q27" s="19">
        <v>10</v>
      </c>
      <c r="R27" s="18">
        <v>0</v>
      </c>
      <c r="S27" s="18">
        <v>0</v>
      </c>
      <c r="T27" s="18">
        <v>0</v>
      </c>
      <c r="U27" s="18">
        <v>0</v>
      </c>
      <c r="V27" s="18">
        <v>0</v>
      </c>
      <c r="W27" s="18">
        <v>0</v>
      </c>
      <c r="X27" s="18">
        <v>0</v>
      </c>
      <c r="Y27" s="18">
        <v>0</v>
      </c>
      <c r="Z27" s="44"/>
      <c r="AA27" s="19"/>
      <c r="AB27" s="19"/>
      <c r="AC27" s="19"/>
      <c r="AD27" s="19"/>
      <c r="AE27" s="45">
        <f t="shared" si="0"/>
        <v>0.952380952380952</v>
      </c>
    </row>
    <row r="28" spans="2:31">
      <c r="B28" s="10">
        <v>23</v>
      </c>
      <c r="C28" s="10">
        <v>1091</v>
      </c>
      <c r="D28" s="9" t="s">
        <v>38</v>
      </c>
      <c r="E28" s="19">
        <v>10</v>
      </c>
      <c r="F28" s="18">
        <v>0</v>
      </c>
      <c r="G28" s="19">
        <v>10</v>
      </c>
      <c r="H28" s="18">
        <v>0</v>
      </c>
      <c r="I28" s="18">
        <v>0</v>
      </c>
      <c r="J28" s="18">
        <v>0</v>
      </c>
      <c r="K28" s="18">
        <v>0</v>
      </c>
      <c r="L28" s="19">
        <v>10</v>
      </c>
      <c r="M28" s="18">
        <v>0</v>
      </c>
      <c r="N28" s="18">
        <v>0</v>
      </c>
      <c r="O28" s="18">
        <v>0</v>
      </c>
      <c r="P28" s="18">
        <v>0</v>
      </c>
      <c r="Q28" s="19">
        <v>10</v>
      </c>
      <c r="R28" s="18">
        <v>0</v>
      </c>
      <c r="S28" s="18">
        <v>0</v>
      </c>
      <c r="T28" s="18">
        <v>0</v>
      </c>
      <c r="U28" s="18">
        <v>0</v>
      </c>
      <c r="V28" s="18">
        <v>0</v>
      </c>
      <c r="W28" s="18">
        <v>0</v>
      </c>
      <c r="X28" s="18">
        <v>0</v>
      </c>
      <c r="Y28" s="19">
        <v>10</v>
      </c>
      <c r="Z28" s="44"/>
      <c r="AA28" s="19"/>
      <c r="AB28" s="19"/>
      <c r="AC28" s="19"/>
      <c r="AD28" s="19"/>
      <c r="AE28" s="45">
        <f t="shared" si="0"/>
        <v>2.38095238095238</v>
      </c>
    </row>
    <row r="29" spans="2:31">
      <c r="B29" s="10">
        <v>24</v>
      </c>
      <c r="C29" s="10">
        <v>1221</v>
      </c>
      <c r="D29" s="9" t="s">
        <v>39</v>
      </c>
      <c r="E29" s="19">
        <v>0</v>
      </c>
      <c r="F29" s="19">
        <v>10</v>
      </c>
      <c r="G29" s="19">
        <v>0</v>
      </c>
      <c r="H29" s="19">
        <v>0</v>
      </c>
      <c r="I29" s="19">
        <v>0</v>
      </c>
      <c r="J29" s="19">
        <v>0</v>
      </c>
      <c r="K29" s="19">
        <v>0</v>
      </c>
      <c r="L29" s="19">
        <v>10</v>
      </c>
      <c r="M29" s="19">
        <v>0</v>
      </c>
      <c r="N29" s="19">
        <v>0</v>
      </c>
      <c r="O29" s="19">
        <v>0</v>
      </c>
      <c r="P29" s="19">
        <v>10</v>
      </c>
      <c r="Q29" s="19">
        <v>10</v>
      </c>
      <c r="R29" s="19">
        <v>10</v>
      </c>
      <c r="S29" s="19">
        <v>10</v>
      </c>
      <c r="T29" s="19">
        <v>0</v>
      </c>
      <c r="U29" s="19">
        <v>0</v>
      </c>
      <c r="V29" s="19">
        <v>0</v>
      </c>
      <c r="W29" s="19">
        <v>10</v>
      </c>
      <c r="X29" s="19">
        <v>10</v>
      </c>
      <c r="Y29" s="18">
        <v>0</v>
      </c>
      <c r="Z29" s="44"/>
      <c r="AA29" s="19"/>
      <c r="AB29" s="19"/>
      <c r="AC29" s="19"/>
      <c r="AD29" s="19"/>
      <c r="AE29" s="45">
        <f t="shared" si="0"/>
        <v>3.80952380952381</v>
      </c>
    </row>
  </sheetData>
  <mergeCells count="4">
    <mergeCell ref="B2:D2"/>
    <mergeCell ref="E2:AE2"/>
    <mergeCell ref="D3:D4"/>
    <mergeCell ref="B3:C4"/>
  </mergeCells>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AH31"/>
  <sheetViews>
    <sheetView tabSelected="1" zoomScale="85" zoomScaleNormal="85" topLeftCell="D4" workbookViewId="0">
      <selection activeCell="AH17" sqref="AH17"/>
    </sheetView>
  </sheetViews>
  <sheetFormatPr defaultColWidth="9.14166666666667" defaultRowHeight="13.8"/>
  <cols>
    <col min="3" max="3" width="12.5666666666667" customWidth="1"/>
    <col min="4" max="4" width="34.8583333333333" customWidth="1"/>
    <col min="5" max="8" width="4.70833333333333" customWidth="1"/>
    <col min="9" max="9" width="6.70833333333333" customWidth="1"/>
    <col min="10" max="14" width="4.70833333333333" customWidth="1"/>
    <col min="15" max="15" width="6.70833333333333" customWidth="1"/>
    <col min="16" max="17" width="4.70833333333333" customWidth="1"/>
    <col min="18" max="18" width="7" customWidth="1"/>
    <col min="19" max="27" width="6.70833333333333" customWidth="1"/>
    <col min="28" max="30" width="7" customWidth="1"/>
    <col min="31" max="31" width="12.425" customWidth="1"/>
    <col min="34" max="34" width="12.8"/>
  </cols>
  <sheetData>
    <row r="2" spans="2:31">
      <c r="B2" s="1" t="s">
        <v>0</v>
      </c>
      <c r="C2" s="1"/>
      <c r="D2" s="1"/>
      <c r="E2" s="1"/>
      <c r="F2" s="1"/>
      <c r="G2" s="1"/>
      <c r="H2" s="1"/>
      <c r="I2" s="1"/>
      <c r="J2" s="1"/>
      <c r="K2" s="1"/>
      <c r="L2" s="1"/>
      <c r="M2" s="1"/>
      <c r="N2" s="1"/>
      <c r="O2" s="1"/>
      <c r="P2" s="1"/>
      <c r="Q2" s="1"/>
      <c r="R2" s="1"/>
      <c r="S2" s="1"/>
      <c r="T2" s="1"/>
      <c r="U2" s="1"/>
      <c r="V2" s="1"/>
      <c r="W2" s="1"/>
      <c r="X2" s="1"/>
      <c r="Y2" s="1"/>
      <c r="Z2" s="1"/>
      <c r="AA2" s="1"/>
      <c r="AB2" s="1"/>
      <c r="AC2" s="1"/>
      <c r="AD2" s="1"/>
      <c r="AE2" s="1"/>
    </row>
    <row r="3" ht="111" customHeight="1" spans="2:31">
      <c r="B3" s="4"/>
      <c r="C3" s="4"/>
      <c r="D3" s="14" t="s">
        <v>68</v>
      </c>
      <c r="E3" s="15" t="s">
        <v>69</v>
      </c>
      <c r="F3" s="15" t="s">
        <v>70</v>
      </c>
      <c r="G3" s="15" t="s">
        <v>71</v>
      </c>
      <c r="H3" s="15" t="s">
        <v>72</v>
      </c>
      <c r="I3" s="15" t="s">
        <v>73</v>
      </c>
      <c r="J3" s="15" t="s">
        <v>74</v>
      </c>
      <c r="K3" s="15" t="s">
        <v>75</v>
      </c>
      <c r="L3" s="15" t="s">
        <v>76</v>
      </c>
      <c r="M3" s="15" t="s">
        <v>77</v>
      </c>
      <c r="N3" s="15" t="s">
        <v>78</v>
      </c>
      <c r="O3" s="15" t="s">
        <v>79</v>
      </c>
      <c r="P3" s="15" t="s">
        <v>80</v>
      </c>
      <c r="Q3" s="15" t="s">
        <v>81</v>
      </c>
      <c r="R3" s="15" t="s">
        <v>82</v>
      </c>
      <c r="S3" s="15" t="s">
        <v>83</v>
      </c>
      <c r="T3" s="15" t="s">
        <v>84</v>
      </c>
      <c r="U3" s="15" t="s">
        <v>85</v>
      </c>
      <c r="V3" s="15" t="s">
        <v>86</v>
      </c>
      <c r="W3" s="15" t="s">
        <v>87</v>
      </c>
      <c r="X3" s="15" t="s">
        <v>88</v>
      </c>
      <c r="Y3" s="15" t="s">
        <v>89</v>
      </c>
      <c r="Z3" s="15" t="s">
        <v>90</v>
      </c>
      <c r="AA3" s="15" t="s">
        <v>91</v>
      </c>
      <c r="AB3" s="15" t="s">
        <v>92</v>
      </c>
      <c r="AC3" s="15" t="s">
        <v>93</v>
      </c>
      <c r="AD3" s="26" t="s">
        <v>94</v>
      </c>
      <c r="AE3" s="6" t="s">
        <v>10</v>
      </c>
    </row>
    <row r="4" ht="15" customHeight="1" spans="2:31">
      <c r="B4" s="9"/>
      <c r="C4" s="9"/>
      <c r="D4" s="16" t="s">
        <v>95</v>
      </c>
      <c r="E4" s="16">
        <v>1</v>
      </c>
      <c r="F4" s="17">
        <v>2</v>
      </c>
      <c r="G4" s="17">
        <v>3</v>
      </c>
      <c r="H4" s="17">
        <v>4</v>
      </c>
      <c r="I4" s="17">
        <v>5</v>
      </c>
      <c r="J4" s="17">
        <v>7</v>
      </c>
      <c r="K4" s="17">
        <v>8</v>
      </c>
      <c r="L4" s="17">
        <v>9</v>
      </c>
      <c r="M4" s="17">
        <v>10</v>
      </c>
      <c r="N4" s="17">
        <v>11</v>
      </c>
      <c r="O4" s="17">
        <v>12</v>
      </c>
      <c r="P4" s="17">
        <v>13</v>
      </c>
      <c r="Q4" s="17">
        <v>14</v>
      </c>
      <c r="R4" s="17">
        <v>15</v>
      </c>
      <c r="S4" s="17">
        <v>16</v>
      </c>
      <c r="T4" s="17">
        <v>17</v>
      </c>
      <c r="U4" s="17">
        <v>18</v>
      </c>
      <c r="V4" s="17">
        <v>19</v>
      </c>
      <c r="W4" s="17">
        <v>20</v>
      </c>
      <c r="X4" s="17">
        <v>21</v>
      </c>
      <c r="Y4" s="17">
        <v>22</v>
      </c>
      <c r="Z4" s="17">
        <v>23</v>
      </c>
      <c r="AA4" s="17">
        <v>24</v>
      </c>
      <c r="AB4" s="17"/>
      <c r="AC4" s="17"/>
      <c r="AD4" s="27"/>
      <c r="AE4" s="14"/>
    </row>
    <row r="5" spans="2:31">
      <c r="B5" s="7" t="s">
        <v>13</v>
      </c>
      <c r="C5" s="7" t="s">
        <v>14</v>
      </c>
      <c r="D5" s="8" t="s">
        <v>15</v>
      </c>
      <c r="E5" s="8"/>
      <c r="F5" s="17"/>
      <c r="G5" s="17"/>
      <c r="H5" s="17"/>
      <c r="I5" s="17"/>
      <c r="J5" s="17"/>
      <c r="K5" s="17"/>
      <c r="L5" s="17"/>
      <c r="M5" s="17"/>
      <c r="N5" s="17"/>
      <c r="O5" s="17"/>
      <c r="P5" s="17"/>
      <c r="Q5" s="17"/>
      <c r="R5" s="17"/>
      <c r="S5" s="17"/>
      <c r="T5" s="17"/>
      <c r="U5" s="17"/>
      <c r="V5" s="17"/>
      <c r="W5" s="17"/>
      <c r="X5" s="17"/>
      <c r="Y5" s="17"/>
      <c r="Z5" s="17"/>
      <c r="AA5" s="17"/>
      <c r="AB5" s="17"/>
      <c r="AC5" s="17"/>
      <c r="AD5" s="17"/>
      <c r="AE5" s="28"/>
    </row>
    <row r="6" spans="2:33">
      <c r="B6" s="10">
        <v>1</v>
      </c>
      <c r="C6" s="10">
        <v>1045</v>
      </c>
      <c r="D6" t="s">
        <v>16</v>
      </c>
      <c r="E6" s="18">
        <v>0</v>
      </c>
      <c r="F6" s="18">
        <v>0</v>
      </c>
      <c r="G6" s="18">
        <v>0</v>
      </c>
      <c r="H6" s="18">
        <v>0</v>
      </c>
      <c r="I6" s="18">
        <v>0</v>
      </c>
      <c r="J6" s="18">
        <v>0</v>
      </c>
      <c r="K6" s="18">
        <v>0</v>
      </c>
      <c r="L6" s="19">
        <v>6</v>
      </c>
      <c r="M6" s="18">
        <v>0</v>
      </c>
      <c r="N6" s="18">
        <v>0</v>
      </c>
      <c r="O6" s="19">
        <v>8</v>
      </c>
      <c r="P6" s="18">
        <v>0</v>
      </c>
      <c r="Q6" s="19">
        <v>10</v>
      </c>
      <c r="R6" s="19">
        <v>8</v>
      </c>
      <c r="S6" s="19">
        <v>6</v>
      </c>
      <c r="T6" s="18">
        <v>0</v>
      </c>
      <c r="U6" s="19">
        <v>10</v>
      </c>
      <c r="V6" s="19">
        <v>10</v>
      </c>
      <c r="W6" s="19">
        <v>10</v>
      </c>
      <c r="X6" s="19">
        <v>10</v>
      </c>
      <c r="Y6" s="19">
        <v>7</v>
      </c>
      <c r="Z6" s="19">
        <v>10</v>
      </c>
      <c r="AA6" s="19">
        <v>10</v>
      </c>
      <c r="AB6" s="19"/>
      <c r="AC6" s="19"/>
      <c r="AD6" s="19"/>
      <c r="AE6" s="29">
        <f>AVERAGE(E6:AD6)</f>
        <v>4.56521739130435</v>
      </c>
      <c r="AF6">
        <v>8.5</v>
      </c>
      <c r="AG6" s="33">
        <f>(AE6+AF6)/2</f>
        <v>6.53260869565218</v>
      </c>
    </row>
    <row r="7" spans="2:33">
      <c r="B7" s="10">
        <v>2</v>
      </c>
      <c r="C7" s="10">
        <v>1060</v>
      </c>
      <c r="D7" s="9" t="s">
        <v>17</v>
      </c>
      <c r="E7" s="19">
        <v>10</v>
      </c>
      <c r="F7" s="19">
        <v>7</v>
      </c>
      <c r="G7" s="19">
        <v>10</v>
      </c>
      <c r="H7" s="19">
        <v>9</v>
      </c>
      <c r="I7" s="18">
        <v>0</v>
      </c>
      <c r="J7" s="19">
        <v>7</v>
      </c>
      <c r="K7" s="18">
        <v>0</v>
      </c>
      <c r="L7" s="19">
        <v>10</v>
      </c>
      <c r="M7" s="19">
        <v>10</v>
      </c>
      <c r="N7" s="19">
        <v>10</v>
      </c>
      <c r="O7" s="19">
        <v>10</v>
      </c>
      <c r="P7" s="19">
        <v>10</v>
      </c>
      <c r="Q7" s="19">
        <v>10</v>
      </c>
      <c r="R7" s="19">
        <v>10</v>
      </c>
      <c r="S7" s="19">
        <v>10</v>
      </c>
      <c r="T7" s="19">
        <v>10</v>
      </c>
      <c r="U7" s="19">
        <v>10</v>
      </c>
      <c r="V7" s="19">
        <v>10</v>
      </c>
      <c r="W7" s="19">
        <v>7</v>
      </c>
      <c r="X7" s="18">
        <v>0</v>
      </c>
      <c r="Y7" s="19">
        <v>10</v>
      </c>
      <c r="Z7" s="18">
        <v>0</v>
      </c>
      <c r="AA7" s="19">
        <v>10</v>
      </c>
      <c r="AB7" s="19"/>
      <c r="AC7" s="19"/>
      <c r="AD7" s="19"/>
      <c r="AE7" s="29">
        <f>AVERAGE(E7:AD7)</f>
        <v>7.82608695652174</v>
      </c>
      <c r="AF7">
        <v>8.3</v>
      </c>
      <c r="AG7" s="33">
        <f t="shared" ref="AG7:AG29" si="0">(AE7+AF7)/2</f>
        <v>8.06304347826087</v>
      </c>
    </row>
    <row r="8" spans="2:33">
      <c r="B8" s="10">
        <v>3</v>
      </c>
      <c r="C8" s="10">
        <v>1108</v>
      </c>
      <c r="D8" s="9" t="s">
        <v>18</v>
      </c>
      <c r="E8" s="19">
        <v>10</v>
      </c>
      <c r="F8" s="19">
        <v>10</v>
      </c>
      <c r="G8" s="19">
        <v>10</v>
      </c>
      <c r="H8" s="19">
        <v>10</v>
      </c>
      <c r="I8" s="18">
        <v>0</v>
      </c>
      <c r="J8" s="19">
        <v>10</v>
      </c>
      <c r="K8" s="19">
        <v>10</v>
      </c>
      <c r="L8" s="19">
        <v>10</v>
      </c>
      <c r="M8" s="19">
        <v>10</v>
      </c>
      <c r="N8" s="19">
        <v>10</v>
      </c>
      <c r="O8" s="19">
        <v>10</v>
      </c>
      <c r="P8" s="19">
        <v>10</v>
      </c>
      <c r="Q8" s="19">
        <v>10</v>
      </c>
      <c r="R8" s="18">
        <v>0</v>
      </c>
      <c r="S8" s="19">
        <v>10</v>
      </c>
      <c r="T8" s="19">
        <v>10</v>
      </c>
      <c r="U8" s="19">
        <v>10</v>
      </c>
      <c r="V8" s="18">
        <v>0</v>
      </c>
      <c r="W8" s="19">
        <v>10</v>
      </c>
      <c r="X8" s="18">
        <v>0</v>
      </c>
      <c r="Y8" s="19">
        <v>10</v>
      </c>
      <c r="Z8" s="19">
        <v>10</v>
      </c>
      <c r="AA8" s="18">
        <v>0</v>
      </c>
      <c r="AB8" s="19"/>
      <c r="AC8" s="19"/>
      <c r="AD8" s="19"/>
      <c r="AE8" s="29">
        <f>AVERAGE(E8:AD8)</f>
        <v>7.82608695652174</v>
      </c>
      <c r="AF8">
        <v>10</v>
      </c>
      <c r="AG8" s="33">
        <f t="shared" si="0"/>
        <v>8.91304347826087</v>
      </c>
    </row>
    <row r="9" spans="2:33">
      <c r="B9" s="10">
        <v>4</v>
      </c>
      <c r="C9" s="10">
        <v>876</v>
      </c>
      <c r="D9" s="9" t="s">
        <v>19</v>
      </c>
      <c r="E9" s="19">
        <v>10</v>
      </c>
      <c r="F9" s="19">
        <v>10</v>
      </c>
      <c r="G9" s="19">
        <v>10</v>
      </c>
      <c r="H9" s="19">
        <v>10</v>
      </c>
      <c r="I9" s="19">
        <v>10</v>
      </c>
      <c r="J9" s="18">
        <v>0</v>
      </c>
      <c r="K9" s="18">
        <v>0</v>
      </c>
      <c r="L9" s="19">
        <v>10</v>
      </c>
      <c r="M9" s="19">
        <v>10</v>
      </c>
      <c r="N9" s="19">
        <v>10</v>
      </c>
      <c r="O9" s="19">
        <v>10</v>
      </c>
      <c r="P9" s="19">
        <v>8</v>
      </c>
      <c r="Q9" s="19">
        <v>10</v>
      </c>
      <c r="R9" s="19">
        <v>10</v>
      </c>
      <c r="S9" s="19">
        <v>10</v>
      </c>
      <c r="T9" s="19">
        <v>10</v>
      </c>
      <c r="U9" s="19">
        <v>10</v>
      </c>
      <c r="V9" s="19">
        <v>10</v>
      </c>
      <c r="W9" s="19">
        <v>10</v>
      </c>
      <c r="X9" s="19">
        <v>10</v>
      </c>
      <c r="Y9" s="19">
        <v>10</v>
      </c>
      <c r="Z9" s="19">
        <v>10</v>
      </c>
      <c r="AA9" s="19">
        <v>10</v>
      </c>
      <c r="AB9" s="19"/>
      <c r="AC9" s="19"/>
      <c r="AD9" s="19"/>
      <c r="AE9" s="29">
        <f t="shared" ref="AE9:AE29" si="1">AVERAGE(E9:AD9)</f>
        <v>9.04347826086956</v>
      </c>
      <c r="AF9">
        <v>10</v>
      </c>
      <c r="AG9" s="33">
        <f t="shared" si="0"/>
        <v>9.52173913043478</v>
      </c>
    </row>
    <row r="10" spans="2:33">
      <c r="B10" s="10">
        <v>5</v>
      </c>
      <c r="C10" s="10">
        <v>639</v>
      </c>
      <c r="D10" s="9" t="s">
        <v>20</v>
      </c>
      <c r="E10" s="19">
        <v>10</v>
      </c>
      <c r="F10" s="19">
        <v>10</v>
      </c>
      <c r="G10" s="19">
        <v>10</v>
      </c>
      <c r="H10" s="19">
        <v>10</v>
      </c>
      <c r="I10" s="19">
        <v>10</v>
      </c>
      <c r="J10" s="19">
        <v>10</v>
      </c>
      <c r="K10" s="19">
        <v>10</v>
      </c>
      <c r="L10" s="19">
        <v>10</v>
      </c>
      <c r="M10" s="19">
        <v>10</v>
      </c>
      <c r="N10" s="19">
        <v>10</v>
      </c>
      <c r="O10" s="19">
        <v>10</v>
      </c>
      <c r="P10" s="19">
        <v>10</v>
      </c>
      <c r="Q10" s="19">
        <v>10</v>
      </c>
      <c r="R10" s="19">
        <v>10</v>
      </c>
      <c r="S10" s="19">
        <v>10</v>
      </c>
      <c r="T10" s="19">
        <v>10</v>
      </c>
      <c r="U10" s="19">
        <v>10</v>
      </c>
      <c r="V10" s="19">
        <v>10</v>
      </c>
      <c r="W10" s="19">
        <v>10</v>
      </c>
      <c r="X10" s="19">
        <v>10</v>
      </c>
      <c r="Y10" s="19">
        <v>10</v>
      </c>
      <c r="Z10" s="19">
        <v>10</v>
      </c>
      <c r="AA10" s="19">
        <v>10</v>
      </c>
      <c r="AB10" s="19"/>
      <c r="AC10" s="19"/>
      <c r="AD10" s="19"/>
      <c r="AE10" s="29">
        <f t="shared" si="1"/>
        <v>10</v>
      </c>
      <c r="AF10">
        <v>10</v>
      </c>
      <c r="AG10" s="33">
        <f t="shared" si="0"/>
        <v>10</v>
      </c>
    </row>
    <row r="11" spans="2:33">
      <c r="B11" s="10">
        <v>6</v>
      </c>
      <c r="C11" s="10">
        <v>1224</v>
      </c>
      <c r="D11" s="9" t="s">
        <v>21</v>
      </c>
      <c r="E11" s="19">
        <v>10</v>
      </c>
      <c r="F11" s="18">
        <v>0</v>
      </c>
      <c r="G11" s="19">
        <v>10</v>
      </c>
      <c r="H11" s="18">
        <v>0</v>
      </c>
      <c r="I11" s="18">
        <v>0</v>
      </c>
      <c r="J11" s="19">
        <v>10</v>
      </c>
      <c r="K11" s="18">
        <v>0</v>
      </c>
      <c r="L11" s="19">
        <v>10</v>
      </c>
      <c r="M11" s="19">
        <v>10</v>
      </c>
      <c r="N11" s="19">
        <v>10</v>
      </c>
      <c r="O11" s="19">
        <v>10</v>
      </c>
      <c r="P11" s="19">
        <v>10</v>
      </c>
      <c r="Q11" s="19">
        <v>10</v>
      </c>
      <c r="R11" s="19">
        <v>10</v>
      </c>
      <c r="S11" s="19">
        <v>5</v>
      </c>
      <c r="T11" s="19">
        <v>10</v>
      </c>
      <c r="U11" s="19">
        <v>10</v>
      </c>
      <c r="V11" s="19">
        <v>10</v>
      </c>
      <c r="W11" s="19">
        <v>8</v>
      </c>
      <c r="X11" s="19">
        <v>10</v>
      </c>
      <c r="Y11" s="19">
        <v>10</v>
      </c>
      <c r="Z11" s="19">
        <v>9</v>
      </c>
      <c r="AA11" s="19">
        <v>10</v>
      </c>
      <c r="AB11" s="19"/>
      <c r="AC11" s="19"/>
      <c r="AD11" s="19"/>
      <c r="AE11" s="29">
        <f t="shared" si="1"/>
        <v>7.91304347826087</v>
      </c>
      <c r="AF11">
        <v>6.2</v>
      </c>
      <c r="AG11" s="33">
        <f t="shared" si="0"/>
        <v>7.05652173913044</v>
      </c>
    </row>
    <row r="12" spans="2:34">
      <c r="B12" s="10">
        <v>7</v>
      </c>
      <c r="C12" s="10">
        <v>1069</v>
      </c>
      <c r="D12" s="9" t="s">
        <v>22</v>
      </c>
      <c r="E12" s="18">
        <v>0</v>
      </c>
      <c r="F12" s="18">
        <v>0</v>
      </c>
      <c r="G12" s="19">
        <v>10</v>
      </c>
      <c r="H12" s="18">
        <v>0</v>
      </c>
      <c r="I12" s="18">
        <v>0</v>
      </c>
      <c r="J12" s="18">
        <v>0</v>
      </c>
      <c r="K12" s="18">
        <v>0</v>
      </c>
      <c r="L12" s="18">
        <v>0</v>
      </c>
      <c r="M12" s="18">
        <v>0</v>
      </c>
      <c r="N12" s="19">
        <v>10</v>
      </c>
      <c r="O12" s="19">
        <v>10</v>
      </c>
      <c r="P12" s="19">
        <v>9</v>
      </c>
      <c r="Q12" s="19">
        <v>10</v>
      </c>
      <c r="R12" s="19">
        <v>10</v>
      </c>
      <c r="S12" s="18">
        <v>0</v>
      </c>
      <c r="T12" s="18">
        <v>0</v>
      </c>
      <c r="U12" s="19">
        <v>8</v>
      </c>
      <c r="V12" s="19">
        <v>10</v>
      </c>
      <c r="W12" s="18">
        <v>0</v>
      </c>
      <c r="X12" s="18">
        <v>0</v>
      </c>
      <c r="Y12" s="19">
        <v>7</v>
      </c>
      <c r="Z12" s="19">
        <v>8</v>
      </c>
      <c r="AA12" s="19">
        <v>7</v>
      </c>
      <c r="AB12" s="19"/>
      <c r="AC12" s="19"/>
      <c r="AD12" s="19"/>
      <c r="AE12" s="29">
        <f t="shared" si="1"/>
        <v>4.30434782608696</v>
      </c>
      <c r="AF12" s="30">
        <v>6.2</v>
      </c>
      <c r="AG12" s="33">
        <f t="shared" si="0"/>
        <v>5.25217391304348</v>
      </c>
      <c r="AH12" s="30"/>
    </row>
    <row r="13" spans="2:34">
      <c r="B13" s="10">
        <v>8</v>
      </c>
      <c r="C13" s="10">
        <v>1003</v>
      </c>
      <c r="D13" s="9" t="s">
        <v>23</v>
      </c>
      <c r="E13" s="19">
        <v>10</v>
      </c>
      <c r="F13" s="19">
        <v>10</v>
      </c>
      <c r="G13" s="19">
        <v>10</v>
      </c>
      <c r="H13" s="19">
        <v>10</v>
      </c>
      <c r="I13" s="19">
        <v>10</v>
      </c>
      <c r="J13" s="19">
        <v>10</v>
      </c>
      <c r="K13" s="18">
        <v>0</v>
      </c>
      <c r="L13" s="19">
        <v>10</v>
      </c>
      <c r="M13" s="19">
        <v>10</v>
      </c>
      <c r="N13" s="19">
        <v>10</v>
      </c>
      <c r="O13" s="19">
        <v>10</v>
      </c>
      <c r="P13" s="19">
        <v>10</v>
      </c>
      <c r="Q13" s="19">
        <v>10</v>
      </c>
      <c r="R13" s="19">
        <v>10</v>
      </c>
      <c r="S13" s="19">
        <v>10</v>
      </c>
      <c r="T13" s="19">
        <v>10</v>
      </c>
      <c r="U13" s="19">
        <v>10</v>
      </c>
      <c r="V13" s="19">
        <v>10</v>
      </c>
      <c r="W13" s="19">
        <v>10</v>
      </c>
      <c r="X13" s="19">
        <v>10</v>
      </c>
      <c r="Y13" s="19">
        <v>10</v>
      </c>
      <c r="Z13" s="19">
        <v>10</v>
      </c>
      <c r="AA13" s="19">
        <v>10</v>
      </c>
      <c r="AB13" s="19"/>
      <c r="AC13" s="19"/>
      <c r="AD13" s="19"/>
      <c r="AE13" s="29">
        <f t="shared" si="1"/>
        <v>9.56521739130435</v>
      </c>
      <c r="AF13" s="30">
        <v>6.3</v>
      </c>
      <c r="AG13" s="33">
        <f t="shared" si="0"/>
        <v>7.93260869565217</v>
      </c>
      <c r="AH13" s="30"/>
    </row>
    <row r="14" spans="2:34">
      <c r="B14" s="20">
        <v>9</v>
      </c>
      <c r="C14" s="20">
        <v>698</v>
      </c>
      <c r="D14" s="21" t="s">
        <v>24</v>
      </c>
      <c r="E14" s="22">
        <v>0</v>
      </c>
      <c r="F14" s="22">
        <v>0</v>
      </c>
      <c r="G14" s="22">
        <v>0</v>
      </c>
      <c r="H14" s="22">
        <v>0</v>
      </c>
      <c r="I14" s="22">
        <v>0</v>
      </c>
      <c r="J14" s="22">
        <v>0</v>
      </c>
      <c r="K14" s="22">
        <v>0</v>
      </c>
      <c r="L14" s="22">
        <v>0</v>
      </c>
      <c r="M14" s="22">
        <v>0</v>
      </c>
      <c r="N14" s="22">
        <v>0</v>
      </c>
      <c r="O14" s="22">
        <v>0</v>
      </c>
      <c r="P14" s="22">
        <v>0</v>
      </c>
      <c r="Q14" s="22">
        <v>0</v>
      </c>
      <c r="R14" s="22">
        <v>0</v>
      </c>
      <c r="S14" s="22">
        <v>0</v>
      </c>
      <c r="T14" s="22">
        <v>0</v>
      </c>
      <c r="U14" s="22">
        <v>0</v>
      </c>
      <c r="V14" s="22">
        <v>0</v>
      </c>
      <c r="W14" s="22">
        <v>0</v>
      </c>
      <c r="X14" s="22">
        <v>0</v>
      </c>
      <c r="Y14" s="22">
        <v>0</v>
      </c>
      <c r="Z14" s="22">
        <v>0</v>
      </c>
      <c r="AA14" s="22">
        <v>0</v>
      </c>
      <c r="AB14" s="22"/>
      <c r="AC14" s="22"/>
      <c r="AD14" s="22"/>
      <c r="AE14" s="31">
        <f t="shared" si="1"/>
        <v>0</v>
      </c>
      <c r="AF14" s="30">
        <v>10</v>
      </c>
      <c r="AG14" s="33">
        <f t="shared" si="0"/>
        <v>5</v>
      </c>
      <c r="AH14" s="30"/>
    </row>
    <row r="15" spans="2:34">
      <c r="B15" s="10">
        <v>10</v>
      </c>
      <c r="C15" s="10">
        <v>1004</v>
      </c>
      <c r="D15" s="9" t="s">
        <v>25</v>
      </c>
      <c r="E15" s="19">
        <v>10</v>
      </c>
      <c r="F15" s="18">
        <v>0</v>
      </c>
      <c r="G15" s="19">
        <v>10</v>
      </c>
      <c r="H15" s="19">
        <v>10</v>
      </c>
      <c r="I15" s="19">
        <v>10</v>
      </c>
      <c r="J15" s="19">
        <v>8</v>
      </c>
      <c r="K15" s="18">
        <v>0</v>
      </c>
      <c r="L15" s="18">
        <v>0</v>
      </c>
      <c r="M15" s="19">
        <v>10</v>
      </c>
      <c r="N15" s="19">
        <v>10</v>
      </c>
      <c r="O15" s="19">
        <v>10</v>
      </c>
      <c r="P15" s="19">
        <v>5</v>
      </c>
      <c r="Q15" s="19">
        <v>10</v>
      </c>
      <c r="R15" s="19">
        <v>10</v>
      </c>
      <c r="S15" s="19">
        <v>9</v>
      </c>
      <c r="T15" s="19">
        <v>10</v>
      </c>
      <c r="U15" s="19">
        <v>8</v>
      </c>
      <c r="V15" s="19">
        <v>10</v>
      </c>
      <c r="W15" s="19">
        <v>5</v>
      </c>
      <c r="X15" s="19">
        <v>8</v>
      </c>
      <c r="Y15" s="19">
        <v>8</v>
      </c>
      <c r="Z15" s="18">
        <v>0</v>
      </c>
      <c r="AA15" s="19">
        <v>10</v>
      </c>
      <c r="AB15" s="19"/>
      <c r="AC15" s="19"/>
      <c r="AD15" s="19"/>
      <c r="AE15" s="29">
        <f t="shared" si="1"/>
        <v>7.43478260869565</v>
      </c>
      <c r="AF15" s="30">
        <v>6.1</v>
      </c>
      <c r="AG15" s="33">
        <f t="shared" si="0"/>
        <v>6.76739130434783</v>
      </c>
      <c r="AH15" s="30"/>
    </row>
    <row r="16" spans="2:34">
      <c r="B16" s="10">
        <v>11</v>
      </c>
      <c r="C16" s="10">
        <v>1214</v>
      </c>
      <c r="D16" s="9" t="s">
        <v>26</v>
      </c>
      <c r="E16" s="19">
        <v>10</v>
      </c>
      <c r="F16" s="19">
        <v>10</v>
      </c>
      <c r="G16" s="19">
        <v>10</v>
      </c>
      <c r="H16" s="18">
        <v>0</v>
      </c>
      <c r="I16" s="19">
        <v>10</v>
      </c>
      <c r="J16" s="19">
        <v>10</v>
      </c>
      <c r="K16" s="18">
        <v>0</v>
      </c>
      <c r="L16" s="19">
        <v>10</v>
      </c>
      <c r="M16" s="18">
        <v>0</v>
      </c>
      <c r="N16" s="18">
        <v>0</v>
      </c>
      <c r="O16" s="19">
        <v>10</v>
      </c>
      <c r="P16" s="19">
        <v>10</v>
      </c>
      <c r="Q16" s="19">
        <v>10</v>
      </c>
      <c r="R16" s="19">
        <v>10</v>
      </c>
      <c r="S16" s="19">
        <v>10</v>
      </c>
      <c r="T16" s="19">
        <v>10</v>
      </c>
      <c r="U16" s="19">
        <v>10</v>
      </c>
      <c r="V16" s="19">
        <v>10</v>
      </c>
      <c r="W16" s="19">
        <v>10</v>
      </c>
      <c r="X16" s="18">
        <v>0</v>
      </c>
      <c r="Y16" s="19">
        <v>9</v>
      </c>
      <c r="Z16" s="18">
        <v>0</v>
      </c>
      <c r="AA16" s="19">
        <v>10</v>
      </c>
      <c r="AB16" s="19"/>
      <c r="AC16" s="19"/>
      <c r="AD16" s="19"/>
      <c r="AE16" s="29">
        <f t="shared" si="1"/>
        <v>7.34782608695652</v>
      </c>
      <c r="AF16" s="30">
        <v>6.8</v>
      </c>
      <c r="AG16" s="33">
        <f t="shared" si="0"/>
        <v>7.07391304347826</v>
      </c>
      <c r="AH16" s="30"/>
    </row>
    <row r="17" spans="2:34">
      <c r="B17" s="10">
        <v>12</v>
      </c>
      <c r="C17" s="10">
        <v>1083</v>
      </c>
      <c r="D17" s="9" t="s">
        <v>27</v>
      </c>
      <c r="E17" s="18">
        <v>0</v>
      </c>
      <c r="F17" s="18">
        <v>0</v>
      </c>
      <c r="G17" s="18">
        <v>0</v>
      </c>
      <c r="H17" s="18">
        <v>0</v>
      </c>
      <c r="I17" s="18">
        <v>0</v>
      </c>
      <c r="J17" s="18">
        <v>0</v>
      </c>
      <c r="K17" s="18">
        <v>0</v>
      </c>
      <c r="L17" s="18">
        <v>0</v>
      </c>
      <c r="M17" s="19">
        <v>10</v>
      </c>
      <c r="N17" s="19">
        <v>10</v>
      </c>
      <c r="O17" s="19">
        <v>10</v>
      </c>
      <c r="P17" s="19">
        <v>8</v>
      </c>
      <c r="Q17" s="19">
        <v>10</v>
      </c>
      <c r="R17" s="18">
        <v>0</v>
      </c>
      <c r="S17" s="19">
        <v>10</v>
      </c>
      <c r="T17" s="19">
        <v>10</v>
      </c>
      <c r="U17" s="19">
        <v>10</v>
      </c>
      <c r="V17" s="18">
        <v>0</v>
      </c>
      <c r="W17" s="19">
        <v>10</v>
      </c>
      <c r="X17" s="19">
        <v>10</v>
      </c>
      <c r="Y17" s="19">
        <v>10</v>
      </c>
      <c r="Z17" s="19">
        <v>10</v>
      </c>
      <c r="AA17" s="19">
        <v>10</v>
      </c>
      <c r="AB17" s="19"/>
      <c r="AC17" s="19"/>
      <c r="AD17" s="19"/>
      <c r="AE17" s="29">
        <f t="shared" si="1"/>
        <v>5.56521739130435</v>
      </c>
      <c r="AF17" s="30">
        <v>8.9</v>
      </c>
      <c r="AG17" s="33">
        <f t="shared" si="0"/>
        <v>7.23260869565217</v>
      </c>
      <c r="AH17" s="30"/>
    </row>
    <row r="18" spans="2:34">
      <c r="B18" s="10">
        <v>13</v>
      </c>
      <c r="C18" s="10">
        <v>1006</v>
      </c>
      <c r="D18" s="9" t="s">
        <v>28</v>
      </c>
      <c r="E18" s="18">
        <v>0</v>
      </c>
      <c r="F18" s="18">
        <v>0</v>
      </c>
      <c r="G18" s="18">
        <v>0</v>
      </c>
      <c r="H18" s="18">
        <v>0</v>
      </c>
      <c r="I18" s="18">
        <v>0</v>
      </c>
      <c r="J18" s="18">
        <v>0</v>
      </c>
      <c r="K18" s="18">
        <v>0</v>
      </c>
      <c r="L18" s="19">
        <v>10</v>
      </c>
      <c r="M18" s="19">
        <v>10</v>
      </c>
      <c r="N18" s="19">
        <v>10</v>
      </c>
      <c r="O18" s="19">
        <v>5</v>
      </c>
      <c r="P18" s="18">
        <v>0</v>
      </c>
      <c r="Q18" s="19">
        <v>9</v>
      </c>
      <c r="R18" s="18">
        <v>0</v>
      </c>
      <c r="S18" s="18">
        <v>0</v>
      </c>
      <c r="T18" s="18">
        <v>0</v>
      </c>
      <c r="U18" s="19">
        <v>10</v>
      </c>
      <c r="V18" s="18">
        <v>0</v>
      </c>
      <c r="W18" s="19">
        <v>10</v>
      </c>
      <c r="X18" s="19">
        <v>10</v>
      </c>
      <c r="Y18" s="19">
        <v>5</v>
      </c>
      <c r="Z18" s="19">
        <v>10</v>
      </c>
      <c r="AA18" s="19">
        <v>10</v>
      </c>
      <c r="AB18" s="19"/>
      <c r="AC18" s="19"/>
      <c r="AD18" s="19"/>
      <c r="AE18" s="29">
        <f t="shared" si="1"/>
        <v>4.30434782608696</v>
      </c>
      <c r="AF18" s="30">
        <v>10</v>
      </c>
      <c r="AG18" s="33">
        <f t="shared" si="0"/>
        <v>7.15217391304348</v>
      </c>
      <c r="AH18" s="30"/>
    </row>
    <row r="19" spans="2:34">
      <c r="B19" s="10">
        <v>14</v>
      </c>
      <c r="C19" s="10">
        <v>991</v>
      </c>
      <c r="D19" s="9" t="s">
        <v>29</v>
      </c>
      <c r="E19" s="19">
        <v>10</v>
      </c>
      <c r="F19" s="19">
        <v>10</v>
      </c>
      <c r="G19" s="19">
        <v>10</v>
      </c>
      <c r="H19" s="19">
        <v>10</v>
      </c>
      <c r="I19" s="19">
        <v>10</v>
      </c>
      <c r="J19" s="19">
        <v>10</v>
      </c>
      <c r="K19" s="19">
        <v>10</v>
      </c>
      <c r="L19" s="19">
        <v>10</v>
      </c>
      <c r="M19" s="19">
        <v>10</v>
      </c>
      <c r="N19" s="19">
        <v>10</v>
      </c>
      <c r="O19" s="19">
        <v>10</v>
      </c>
      <c r="P19" s="19">
        <v>10</v>
      </c>
      <c r="Q19" s="19">
        <v>10</v>
      </c>
      <c r="R19" s="19">
        <v>10</v>
      </c>
      <c r="S19" s="19">
        <v>10</v>
      </c>
      <c r="T19" s="19">
        <v>10</v>
      </c>
      <c r="U19" s="19">
        <v>10</v>
      </c>
      <c r="V19" s="19">
        <v>10</v>
      </c>
      <c r="W19" s="19">
        <v>10</v>
      </c>
      <c r="X19" s="18">
        <v>0</v>
      </c>
      <c r="Y19" s="19">
        <v>10</v>
      </c>
      <c r="Z19" s="19">
        <v>10</v>
      </c>
      <c r="AA19" s="19">
        <v>10</v>
      </c>
      <c r="AB19" s="19"/>
      <c r="AC19" s="19"/>
      <c r="AD19" s="19"/>
      <c r="AE19" s="29">
        <f t="shared" si="1"/>
        <v>9.56521739130435</v>
      </c>
      <c r="AF19" s="30">
        <v>10</v>
      </c>
      <c r="AG19" s="33">
        <f t="shared" si="0"/>
        <v>9.78260869565218</v>
      </c>
      <c r="AH19" s="30"/>
    </row>
    <row r="20" spans="2:34">
      <c r="B20" s="23">
        <v>15</v>
      </c>
      <c r="C20" s="23">
        <v>1006</v>
      </c>
      <c r="D20" s="24" t="s">
        <v>30</v>
      </c>
      <c r="E20" s="25">
        <v>0</v>
      </c>
      <c r="F20" s="25">
        <v>0</v>
      </c>
      <c r="G20" s="25">
        <v>0</v>
      </c>
      <c r="H20" s="25">
        <v>0</v>
      </c>
      <c r="I20" s="25">
        <v>0</v>
      </c>
      <c r="J20" s="25">
        <v>0</v>
      </c>
      <c r="K20" s="25">
        <v>0</v>
      </c>
      <c r="L20" s="25">
        <v>0</v>
      </c>
      <c r="M20" s="25">
        <v>0</v>
      </c>
      <c r="N20" s="25">
        <v>0</v>
      </c>
      <c r="O20" s="25">
        <v>0</v>
      </c>
      <c r="P20" s="25">
        <v>0</v>
      </c>
      <c r="Q20" s="25">
        <v>0</v>
      </c>
      <c r="R20" s="25">
        <v>0</v>
      </c>
      <c r="S20" s="25">
        <v>0</v>
      </c>
      <c r="T20" s="25">
        <v>0</v>
      </c>
      <c r="U20" s="25">
        <v>0</v>
      </c>
      <c r="V20" s="25">
        <v>0</v>
      </c>
      <c r="W20" s="25">
        <v>0</v>
      </c>
      <c r="X20" s="25">
        <v>0</v>
      </c>
      <c r="Y20" s="25">
        <v>0</v>
      </c>
      <c r="Z20" s="25">
        <v>0</v>
      </c>
      <c r="AA20" s="25">
        <v>0</v>
      </c>
      <c r="AB20" s="25"/>
      <c r="AC20" s="25"/>
      <c r="AD20" s="25"/>
      <c r="AE20" s="32">
        <f t="shared" si="1"/>
        <v>0</v>
      </c>
      <c r="AF20" s="30">
        <v>4.9</v>
      </c>
      <c r="AG20" s="33">
        <f t="shared" si="0"/>
        <v>2.45</v>
      </c>
      <c r="AH20" s="30"/>
    </row>
    <row r="21" spans="2:34">
      <c r="B21" s="23">
        <v>16</v>
      </c>
      <c r="C21" s="23">
        <v>1035</v>
      </c>
      <c r="D21" s="24" t="s">
        <v>31</v>
      </c>
      <c r="E21" s="25">
        <v>0</v>
      </c>
      <c r="F21" s="25">
        <v>0</v>
      </c>
      <c r="G21" s="25">
        <v>0</v>
      </c>
      <c r="H21" s="25">
        <v>0</v>
      </c>
      <c r="I21" s="25">
        <v>0</v>
      </c>
      <c r="J21" s="25">
        <v>0</v>
      </c>
      <c r="K21" s="25">
        <v>0</v>
      </c>
      <c r="L21" s="25">
        <v>0</v>
      </c>
      <c r="M21" s="25">
        <v>0</v>
      </c>
      <c r="N21" s="25">
        <v>0</v>
      </c>
      <c r="O21" s="25">
        <v>0</v>
      </c>
      <c r="P21" s="25">
        <v>0</v>
      </c>
      <c r="Q21" s="25">
        <v>0</v>
      </c>
      <c r="R21" s="25">
        <v>0</v>
      </c>
      <c r="S21" s="25">
        <v>0</v>
      </c>
      <c r="T21" s="25">
        <v>0</v>
      </c>
      <c r="U21" s="25">
        <v>0</v>
      </c>
      <c r="V21" s="25">
        <v>0</v>
      </c>
      <c r="W21" s="25">
        <v>0</v>
      </c>
      <c r="X21" s="25">
        <v>0</v>
      </c>
      <c r="Y21" s="25">
        <v>0</v>
      </c>
      <c r="Z21" s="25">
        <v>0</v>
      </c>
      <c r="AA21" s="25">
        <v>0</v>
      </c>
      <c r="AB21" s="25"/>
      <c r="AC21" s="25"/>
      <c r="AD21" s="25"/>
      <c r="AE21" s="32">
        <f t="shared" si="1"/>
        <v>0</v>
      </c>
      <c r="AF21" s="30">
        <v>5.9</v>
      </c>
      <c r="AG21" s="33">
        <f t="shared" si="0"/>
        <v>2.95</v>
      </c>
      <c r="AH21" s="30"/>
    </row>
    <row r="22" spans="2:34">
      <c r="B22" s="10">
        <v>17</v>
      </c>
      <c r="C22" s="10">
        <v>1088</v>
      </c>
      <c r="D22" s="9" t="s">
        <v>32</v>
      </c>
      <c r="E22" s="18">
        <v>0</v>
      </c>
      <c r="F22" s="18">
        <v>0</v>
      </c>
      <c r="G22" s="19">
        <v>10</v>
      </c>
      <c r="H22" s="19">
        <v>10</v>
      </c>
      <c r="I22" s="19">
        <v>10</v>
      </c>
      <c r="J22" s="19">
        <v>10</v>
      </c>
      <c r="K22" s="19">
        <v>0</v>
      </c>
      <c r="L22" s="19">
        <v>10</v>
      </c>
      <c r="M22" s="19">
        <v>10</v>
      </c>
      <c r="N22" s="19">
        <v>10</v>
      </c>
      <c r="O22" s="19">
        <v>10</v>
      </c>
      <c r="P22" s="19">
        <v>10</v>
      </c>
      <c r="Q22" s="19">
        <v>10</v>
      </c>
      <c r="R22" s="19">
        <v>10</v>
      </c>
      <c r="S22" s="19">
        <v>10</v>
      </c>
      <c r="T22" s="19">
        <v>10</v>
      </c>
      <c r="U22" s="19">
        <v>10</v>
      </c>
      <c r="V22" s="19">
        <v>10</v>
      </c>
      <c r="W22" s="19">
        <v>10</v>
      </c>
      <c r="X22" s="19">
        <v>10</v>
      </c>
      <c r="Y22" s="18">
        <v>0</v>
      </c>
      <c r="Z22" s="19">
        <v>10</v>
      </c>
      <c r="AA22" s="18">
        <v>0</v>
      </c>
      <c r="AB22" s="19"/>
      <c r="AC22" s="19"/>
      <c r="AD22" s="19"/>
      <c r="AE22" s="29">
        <f t="shared" si="1"/>
        <v>7.82608695652174</v>
      </c>
      <c r="AF22" s="30">
        <v>10</v>
      </c>
      <c r="AG22" s="33">
        <f t="shared" si="0"/>
        <v>8.91304347826087</v>
      </c>
      <c r="AH22" s="30"/>
    </row>
    <row r="23" spans="2:34">
      <c r="B23" s="20">
        <v>18</v>
      </c>
      <c r="C23" s="20">
        <v>1016</v>
      </c>
      <c r="D23" s="21" t="s">
        <v>33</v>
      </c>
      <c r="E23" s="22">
        <v>0</v>
      </c>
      <c r="F23" s="22">
        <v>0</v>
      </c>
      <c r="G23" s="22">
        <v>0</v>
      </c>
      <c r="H23" s="22">
        <v>0</v>
      </c>
      <c r="I23" s="22">
        <v>0</v>
      </c>
      <c r="J23" s="22">
        <v>0</v>
      </c>
      <c r="K23" s="22">
        <v>0</v>
      </c>
      <c r="L23" s="22">
        <v>0</v>
      </c>
      <c r="M23" s="22">
        <v>0</v>
      </c>
      <c r="N23" s="22">
        <v>0</v>
      </c>
      <c r="O23" s="22">
        <v>0</v>
      </c>
      <c r="P23" s="22">
        <v>0</v>
      </c>
      <c r="Q23" s="22">
        <v>0</v>
      </c>
      <c r="R23" s="22">
        <v>0</v>
      </c>
      <c r="S23" s="22">
        <v>0</v>
      </c>
      <c r="T23" s="22">
        <v>0</v>
      </c>
      <c r="U23" s="22">
        <v>0</v>
      </c>
      <c r="V23" s="22">
        <v>0</v>
      </c>
      <c r="W23" s="22">
        <v>0</v>
      </c>
      <c r="X23" s="22">
        <v>0</v>
      </c>
      <c r="Y23" s="22">
        <v>0</v>
      </c>
      <c r="Z23" s="22">
        <v>0</v>
      </c>
      <c r="AA23" s="22">
        <v>0</v>
      </c>
      <c r="AB23" s="22"/>
      <c r="AC23" s="22"/>
      <c r="AD23" s="22"/>
      <c r="AE23" s="31">
        <f t="shared" si="1"/>
        <v>0</v>
      </c>
      <c r="AF23" s="30">
        <v>8.8</v>
      </c>
      <c r="AG23" s="33">
        <f t="shared" si="0"/>
        <v>4.4</v>
      </c>
      <c r="AH23" s="30"/>
    </row>
    <row r="24" spans="2:34">
      <c r="B24" s="10">
        <v>19</v>
      </c>
      <c r="C24" s="10">
        <v>1062</v>
      </c>
      <c r="D24" s="9" t="s">
        <v>34</v>
      </c>
      <c r="E24" s="19">
        <v>10</v>
      </c>
      <c r="F24" s="18">
        <v>0</v>
      </c>
      <c r="G24" s="19">
        <v>9</v>
      </c>
      <c r="H24" s="18">
        <v>0</v>
      </c>
      <c r="I24" s="18">
        <v>0</v>
      </c>
      <c r="J24" s="19">
        <v>9</v>
      </c>
      <c r="K24" s="18">
        <v>0</v>
      </c>
      <c r="L24" s="19">
        <v>10</v>
      </c>
      <c r="M24" s="18">
        <v>0</v>
      </c>
      <c r="N24" s="19">
        <v>10</v>
      </c>
      <c r="O24" s="19">
        <v>10</v>
      </c>
      <c r="P24" s="18">
        <v>0</v>
      </c>
      <c r="Q24" s="19">
        <v>9</v>
      </c>
      <c r="R24" s="18">
        <v>0</v>
      </c>
      <c r="S24" s="18">
        <v>0</v>
      </c>
      <c r="T24" s="18">
        <v>0</v>
      </c>
      <c r="U24" s="18">
        <v>0</v>
      </c>
      <c r="V24" s="19">
        <v>10</v>
      </c>
      <c r="W24" s="19">
        <v>9</v>
      </c>
      <c r="X24" s="18">
        <v>0</v>
      </c>
      <c r="Y24" s="19">
        <v>8</v>
      </c>
      <c r="Z24" s="18">
        <v>0</v>
      </c>
      <c r="AA24" s="19">
        <v>10</v>
      </c>
      <c r="AB24" s="19"/>
      <c r="AC24" s="19"/>
      <c r="AD24" s="19"/>
      <c r="AE24" s="29">
        <f t="shared" si="1"/>
        <v>4.52173913043478</v>
      </c>
      <c r="AF24" s="30">
        <v>8.6</v>
      </c>
      <c r="AG24" s="33">
        <f t="shared" si="0"/>
        <v>6.56086956521739</v>
      </c>
      <c r="AH24" s="30"/>
    </row>
    <row r="25" spans="2:34">
      <c r="B25" s="23">
        <v>20</v>
      </c>
      <c r="C25" s="23">
        <v>1029</v>
      </c>
      <c r="D25" s="24" t="s">
        <v>35</v>
      </c>
      <c r="E25" s="25">
        <v>0</v>
      </c>
      <c r="F25" s="25">
        <v>0</v>
      </c>
      <c r="G25" s="25">
        <v>0</v>
      </c>
      <c r="H25" s="25">
        <v>0</v>
      </c>
      <c r="I25" s="25">
        <v>0</v>
      </c>
      <c r="J25" s="25">
        <v>0</v>
      </c>
      <c r="K25" s="25">
        <v>0</v>
      </c>
      <c r="L25" s="25">
        <v>0</v>
      </c>
      <c r="M25" s="25">
        <v>0</v>
      </c>
      <c r="N25" s="25">
        <v>0</v>
      </c>
      <c r="O25" s="25">
        <v>0</v>
      </c>
      <c r="P25" s="25">
        <v>0</v>
      </c>
      <c r="Q25" s="25">
        <v>0</v>
      </c>
      <c r="R25" s="25">
        <v>0</v>
      </c>
      <c r="S25" s="25">
        <v>0</v>
      </c>
      <c r="T25" s="25">
        <v>0</v>
      </c>
      <c r="U25" s="25">
        <v>0</v>
      </c>
      <c r="V25" s="25">
        <v>0</v>
      </c>
      <c r="W25" s="25">
        <v>0</v>
      </c>
      <c r="X25" s="25">
        <v>0</v>
      </c>
      <c r="Y25" s="25">
        <v>0</v>
      </c>
      <c r="Z25" s="25">
        <v>0</v>
      </c>
      <c r="AA25" s="25">
        <v>0</v>
      </c>
      <c r="AB25" s="25"/>
      <c r="AC25" s="25"/>
      <c r="AD25" s="25"/>
      <c r="AE25" s="32">
        <f t="shared" si="1"/>
        <v>0</v>
      </c>
      <c r="AF25" s="30">
        <v>8.4</v>
      </c>
      <c r="AG25" s="33">
        <f t="shared" si="0"/>
        <v>4.2</v>
      </c>
      <c r="AH25" s="30"/>
    </row>
    <row r="26" spans="2:34">
      <c r="B26" s="10">
        <v>21</v>
      </c>
      <c r="C26" s="10">
        <v>994</v>
      </c>
      <c r="D26" s="9" t="s">
        <v>36</v>
      </c>
      <c r="E26" s="19">
        <v>10</v>
      </c>
      <c r="F26" s="19">
        <v>10</v>
      </c>
      <c r="G26" s="19">
        <v>10</v>
      </c>
      <c r="H26" s="19">
        <v>10</v>
      </c>
      <c r="I26" s="19">
        <v>10</v>
      </c>
      <c r="J26" s="19">
        <v>10</v>
      </c>
      <c r="K26" s="19">
        <v>10</v>
      </c>
      <c r="L26" s="19">
        <v>10</v>
      </c>
      <c r="M26" s="18">
        <v>0</v>
      </c>
      <c r="N26" s="19">
        <v>10</v>
      </c>
      <c r="O26" s="19">
        <v>10</v>
      </c>
      <c r="P26" s="18">
        <v>0</v>
      </c>
      <c r="Q26" s="19">
        <v>10</v>
      </c>
      <c r="R26" s="19">
        <v>10</v>
      </c>
      <c r="S26" s="19">
        <v>10</v>
      </c>
      <c r="T26" s="19">
        <v>10</v>
      </c>
      <c r="U26" s="19">
        <v>10</v>
      </c>
      <c r="V26" s="19">
        <v>10</v>
      </c>
      <c r="W26" s="19">
        <v>9</v>
      </c>
      <c r="X26" s="19">
        <v>10</v>
      </c>
      <c r="Y26" s="19">
        <v>10</v>
      </c>
      <c r="Z26" s="19">
        <v>10</v>
      </c>
      <c r="AA26" s="19">
        <v>10</v>
      </c>
      <c r="AB26" s="19"/>
      <c r="AC26" s="19"/>
      <c r="AD26" s="19"/>
      <c r="AE26" s="29">
        <f t="shared" si="1"/>
        <v>9.08695652173913</v>
      </c>
      <c r="AF26" s="30">
        <v>10</v>
      </c>
      <c r="AG26" s="33">
        <f t="shared" si="0"/>
        <v>9.54347826086957</v>
      </c>
      <c r="AH26" s="30"/>
    </row>
    <row r="27" spans="2:34">
      <c r="B27" s="10">
        <v>22</v>
      </c>
      <c r="C27" s="10">
        <v>799</v>
      </c>
      <c r="D27" s="9" t="s">
        <v>37</v>
      </c>
      <c r="E27" s="19">
        <v>10</v>
      </c>
      <c r="F27" s="18">
        <v>0</v>
      </c>
      <c r="G27" s="19">
        <v>10</v>
      </c>
      <c r="H27" s="18">
        <v>0</v>
      </c>
      <c r="I27" s="19">
        <v>5</v>
      </c>
      <c r="J27" s="19">
        <v>7</v>
      </c>
      <c r="K27" s="18">
        <v>0</v>
      </c>
      <c r="L27" s="19">
        <v>7</v>
      </c>
      <c r="M27" s="18">
        <v>0</v>
      </c>
      <c r="N27" s="19">
        <v>10</v>
      </c>
      <c r="O27" s="19">
        <v>10</v>
      </c>
      <c r="P27" s="19">
        <v>8</v>
      </c>
      <c r="Q27" s="19">
        <v>10</v>
      </c>
      <c r="R27" s="19">
        <v>10</v>
      </c>
      <c r="S27" s="18">
        <v>0</v>
      </c>
      <c r="T27" s="18">
        <v>0</v>
      </c>
      <c r="U27" s="19">
        <v>10</v>
      </c>
      <c r="V27" s="19">
        <v>10</v>
      </c>
      <c r="W27" s="18">
        <v>0</v>
      </c>
      <c r="X27" s="18">
        <v>0</v>
      </c>
      <c r="Y27" s="18">
        <v>0</v>
      </c>
      <c r="Z27" s="18">
        <v>0</v>
      </c>
      <c r="AA27" s="18">
        <v>0</v>
      </c>
      <c r="AB27" s="19"/>
      <c r="AC27" s="19"/>
      <c r="AD27" s="19"/>
      <c r="AE27" s="29">
        <f t="shared" si="1"/>
        <v>4.65217391304348</v>
      </c>
      <c r="AF27" s="30">
        <v>6.6</v>
      </c>
      <c r="AG27" s="33">
        <f t="shared" si="0"/>
        <v>5.62608695652174</v>
      </c>
      <c r="AH27" s="30"/>
    </row>
    <row r="28" spans="2:34">
      <c r="B28" s="10">
        <v>23</v>
      </c>
      <c r="C28" s="10">
        <v>1091</v>
      </c>
      <c r="D28" s="9" t="s">
        <v>38</v>
      </c>
      <c r="E28" s="19">
        <v>10</v>
      </c>
      <c r="F28" s="19">
        <v>10</v>
      </c>
      <c r="G28" s="19">
        <v>10</v>
      </c>
      <c r="H28" s="19">
        <v>10</v>
      </c>
      <c r="I28" s="19">
        <v>10</v>
      </c>
      <c r="J28" s="19">
        <v>10</v>
      </c>
      <c r="K28" s="19">
        <v>10</v>
      </c>
      <c r="L28" s="19">
        <v>10</v>
      </c>
      <c r="M28" s="18">
        <v>0</v>
      </c>
      <c r="N28" s="19">
        <v>10</v>
      </c>
      <c r="O28" s="19">
        <v>10</v>
      </c>
      <c r="P28" s="19">
        <v>10</v>
      </c>
      <c r="Q28" s="19">
        <v>10</v>
      </c>
      <c r="R28" s="19">
        <v>10</v>
      </c>
      <c r="S28" s="19">
        <v>10</v>
      </c>
      <c r="T28" s="19">
        <v>10</v>
      </c>
      <c r="U28" s="19">
        <v>10</v>
      </c>
      <c r="V28" s="19">
        <v>10</v>
      </c>
      <c r="W28" s="18">
        <v>0</v>
      </c>
      <c r="X28" s="19">
        <v>10</v>
      </c>
      <c r="Y28" s="19">
        <v>10</v>
      </c>
      <c r="Z28" s="18">
        <v>0</v>
      </c>
      <c r="AA28" s="19">
        <v>10</v>
      </c>
      <c r="AB28" s="19"/>
      <c r="AC28" s="19"/>
      <c r="AD28" s="19"/>
      <c r="AE28" s="29">
        <f t="shared" si="1"/>
        <v>8.69565217391304</v>
      </c>
      <c r="AF28" s="30">
        <v>10</v>
      </c>
      <c r="AG28" s="33">
        <f t="shared" si="0"/>
        <v>9.34782608695652</v>
      </c>
      <c r="AH28" s="30"/>
    </row>
    <row r="29" spans="2:34">
      <c r="B29" s="10">
        <v>24</v>
      </c>
      <c r="C29" s="10">
        <v>1221</v>
      </c>
      <c r="D29" s="9" t="s">
        <v>39</v>
      </c>
      <c r="E29" s="19">
        <v>10</v>
      </c>
      <c r="F29" s="18">
        <v>0</v>
      </c>
      <c r="G29" s="19">
        <v>10</v>
      </c>
      <c r="H29" s="19">
        <v>10</v>
      </c>
      <c r="I29" s="19">
        <v>10</v>
      </c>
      <c r="J29" s="19">
        <v>9</v>
      </c>
      <c r="K29" s="19">
        <v>10</v>
      </c>
      <c r="L29" s="19">
        <v>10</v>
      </c>
      <c r="M29" s="19">
        <v>5</v>
      </c>
      <c r="N29" s="19">
        <v>10</v>
      </c>
      <c r="O29" s="19">
        <v>10</v>
      </c>
      <c r="P29" s="19">
        <v>8</v>
      </c>
      <c r="Q29" s="19">
        <v>10</v>
      </c>
      <c r="R29" s="19">
        <v>10</v>
      </c>
      <c r="S29" s="19">
        <v>0</v>
      </c>
      <c r="T29" s="19">
        <v>0</v>
      </c>
      <c r="U29" s="19">
        <v>10</v>
      </c>
      <c r="V29" s="19">
        <v>10</v>
      </c>
      <c r="W29" s="19">
        <v>0</v>
      </c>
      <c r="X29" s="19">
        <v>0</v>
      </c>
      <c r="Y29" s="19">
        <v>10</v>
      </c>
      <c r="Z29" s="19">
        <v>10</v>
      </c>
      <c r="AA29" s="19">
        <v>10</v>
      </c>
      <c r="AB29" s="19"/>
      <c r="AC29" s="19"/>
      <c r="AD29" s="19"/>
      <c r="AE29" s="29">
        <f t="shared" si="1"/>
        <v>7.47826086956522</v>
      </c>
      <c r="AF29" s="30">
        <v>8.3</v>
      </c>
      <c r="AG29" s="33">
        <f t="shared" si="0"/>
        <v>7.88913043478261</v>
      </c>
      <c r="AH29" s="30"/>
    </row>
    <row r="30" spans="33:33">
      <c r="AG30" s="13"/>
    </row>
    <row r="31" spans="33:33">
      <c r="AG31" s="13"/>
    </row>
  </sheetData>
  <mergeCells count="2">
    <mergeCell ref="B2:D2"/>
    <mergeCell ref="F2:AE2"/>
  </mergeCells>
  <pageMargins left="0.7" right="0.7" top="0.75" bottom="0.75" header="0.3" footer="0.3"/>
  <pageSetup paperSize="1"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28"/>
  <sheetViews>
    <sheetView zoomScale="80" zoomScaleNormal="80" topLeftCell="E1" workbookViewId="0">
      <selection activeCell="J9" sqref="J9:J28"/>
    </sheetView>
  </sheetViews>
  <sheetFormatPr defaultColWidth="9.14166666666667" defaultRowHeight="13.8"/>
  <cols>
    <col min="3" max="3" width="12.5666666666667" customWidth="1"/>
    <col min="4" max="4" width="37.8583333333333" customWidth="1"/>
    <col min="5" max="5" width="157.491666666667" customWidth="1"/>
    <col min="6" max="6" width="42.5" customWidth="1"/>
    <col min="10" max="10" width="18.4"/>
  </cols>
  <sheetData>
    <row r="2" spans="2:6">
      <c r="B2" s="1" t="s">
        <v>0</v>
      </c>
      <c r="C2" s="1"/>
      <c r="D2" s="1"/>
      <c r="E2" s="2" t="s">
        <v>1</v>
      </c>
      <c r="F2" s="3"/>
    </row>
    <row r="3" spans="2:6">
      <c r="B3" s="4"/>
      <c r="C3" s="4"/>
      <c r="D3" s="5"/>
      <c r="E3" s="6" t="s">
        <v>96</v>
      </c>
      <c r="F3" s="6" t="s">
        <v>97</v>
      </c>
    </row>
    <row r="4" spans="2:6">
      <c r="B4" s="7" t="s">
        <v>13</v>
      </c>
      <c r="C4" s="7" t="s">
        <v>14</v>
      </c>
      <c r="D4" s="8" t="s">
        <v>15</v>
      </c>
      <c r="E4" s="9"/>
      <c r="F4" s="9"/>
    </row>
    <row r="5" spans="2:6">
      <c r="B5" s="10">
        <v>1</v>
      </c>
      <c r="C5" s="10">
        <v>1045</v>
      </c>
      <c r="D5" t="s">
        <v>16</v>
      </c>
      <c r="E5" s="11" t="s">
        <v>98</v>
      </c>
      <c r="F5" s="11" t="s">
        <v>99</v>
      </c>
    </row>
    <row r="6" spans="2:6">
      <c r="B6" s="10">
        <v>2</v>
      </c>
      <c r="C6" s="10">
        <v>1060</v>
      </c>
      <c r="D6" s="9" t="s">
        <v>17</v>
      </c>
      <c r="E6" s="11" t="s">
        <v>100</v>
      </c>
      <c r="F6" s="11" t="s">
        <v>101</v>
      </c>
    </row>
    <row r="7" spans="2:6">
      <c r="B7" s="10">
        <v>3</v>
      </c>
      <c r="C7" s="10">
        <v>1108</v>
      </c>
      <c r="D7" s="9" t="s">
        <v>18</v>
      </c>
      <c r="E7" s="12" t="s">
        <v>102</v>
      </c>
      <c r="F7" s="11"/>
    </row>
    <row r="8" spans="2:6">
      <c r="B8" s="10">
        <v>4</v>
      </c>
      <c r="C8" s="10">
        <v>876</v>
      </c>
      <c r="D8" s="9" t="s">
        <v>19</v>
      </c>
      <c r="E8" s="11" t="s">
        <v>103</v>
      </c>
      <c r="F8" s="11" t="s">
        <v>104</v>
      </c>
    </row>
    <row r="9" spans="2:10">
      <c r="B9" s="10">
        <v>5</v>
      </c>
      <c r="C9" s="10">
        <v>639</v>
      </c>
      <c r="D9" s="9" t="s">
        <v>20</v>
      </c>
      <c r="E9" s="11" t="s">
        <v>103</v>
      </c>
      <c r="F9" s="11" t="s">
        <v>105</v>
      </c>
      <c r="G9">
        <v>36</v>
      </c>
      <c r="H9">
        <v>95</v>
      </c>
      <c r="I9">
        <f>H9-G9</f>
        <v>59</v>
      </c>
      <c r="J9" s="13">
        <f>I9/H9*100</f>
        <v>62.1052631578947</v>
      </c>
    </row>
    <row r="10" spans="2:10">
      <c r="B10" s="10">
        <v>6</v>
      </c>
      <c r="C10" s="10">
        <v>1224</v>
      </c>
      <c r="D10" s="9" t="s">
        <v>21</v>
      </c>
      <c r="E10" s="11" t="s">
        <v>106</v>
      </c>
      <c r="F10" s="11" t="s">
        <v>107</v>
      </c>
      <c r="G10">
        <v>36</v>
      </c>
      <c r="H10">
        <v>95</v>
      </c>
      <c r="I10">
        <f t="shared" ref="I10:I28" si="0">H10-G10</f>
        <v>59</v>
      </c>
      <c r="J10" s="13">
        <f t="shared" ref="J10:J28" si="1">I10/H10*100</f>
        <v>62.1052631578947</v>
      </c>
    </row>
    <row r="11" spans="2:10">
      <c r="B11" s="10">
        <v>7</v>
      </c>
      <c r="C11" s="10">
        <v>1069</v>
      </c>
      <c r="D11" s="9" t="s">
        <v>22</v>
      </c>
      <c r="E11" s="11" t="s">
        <v>108</v>
      </c>
      <c r="F11" s="11"/>
      <c r="G11">
        <v>35</v>
      </c>
      <c r="H11">
        <v>95</v>
      </c>
      <c r="I11">
        <f t="shared" si="0"/>
        <v>60</v>
      </c>
      <c r="J11" s="13">
        <f t="shared" si="1"/>
        <v>63.1578947368421</v>
      </c>
    </row>
    <row r="12" spans="2:10">
      <c r="B12" s="10">
        <v>8</v>
      </c>
      <c r="C12" s="10">
        <v>1003</v>
      </c>
      <c r="D12" s="9" t="s">
        <v>23</v>
      </c>
      <c r="E12" s="12" t="s">
        <v>109</v>
      </c>
      <c r="F12" s="11" t="s">
        <v>110</v>
      </c>
      <c r="G12"/>
      <c r="H12">
        <v>95</v>
      </c>
      <c r="I12">
        <f t="shared" si="0"/>
        <v>95</v>
      </c>
      <c r="J12" s="13">
        <f t="shared" si="1"/>
        <v>100</v>
      </c>
    </row>
    <row r="13" spans="2:10">
      <c r="B13" s="10">
        <v>9</v>
      </c>
      <c r="C13" s="10">
        <v>698</v>
      </c>
      <c r="D13" s="9" t="s">
        <v>24</v>
      </c>
      <c r="E13" s="11" t="s">
        <v>111</v>
      </c>
      <c r="F13" s="11"/>
      <c r="G13">
        <v>37</v>
      </c>
      <c r="H13">
        <v>95</v>
      </c>
      <c r="I13">
        <f t="shared" si="0"/>
        <v>58</v>
      </c>
      <c r="J13" s="13">
        <f t="shared" si="1"/>
        <v>61.0526315789474</v>
      </c>
    </row>
    <row r="14" spans="2:10">
      <c r="B14" s="10">
        <v>10</v>
      </c>
      <c r="C14" s="10">
        <v>1004</v>
      </c>
      <c r="D14" s="9" t="s">
        <v>25</v>
      </c>
      <c r="E14" s="11" t="s">
        <v>112</v>
      </c>
      <c r="F14" s="11"/>
      <c r="G14">
        <v>30</v>
      </c>
      <c r="H14">
        <v>95</v>
      </c>
      <c r="I14">
        <f t="shared" si="0"/>
        <v>65</v>
      </c>
      <c r="J14" s="13">
        <f t="shared" si="1"/>
        <v>68.4210526315789</v>
      </c>
    </row>
    <row r="15" spans="2:10">
      <c r="B15" s="10">
        <v>11</v>
      </c>
      <c r="C15" s="10">
        <v>1214</v>
      </c>
      <c r="D15" s="9" t="s">
        <v>26</v>
      </c>
      <c r="E15" s="11" t="s">
        <v>113</v>
      </c>
      <c r="F15" s="11" t="s">
        <v>114</v>
      </c>
      <c r="G15">
        <v>10</v>
      </c>
      <c r="H15">
        <v>95</v>
      </c>
      <c r="I15">
        <f t="shared" si="0"/>
        <v>85</v>
      </c>
      <c r="J15" s="13">
        <f t="shared" si="1"/>
        <v>89.4736842105263</v>
      </c>
    </row>
    <row r="16" spans="2:10">
      <c r="B16" s="10">
        <v>12</v>
      </c>
      <c r="C16" s="10">
        <v>1083</v>
      </c>
      <c r="D16" s="9" t="s">
        <v>27</v>
      </c>
      <c r="E16" s="11" t="s">
        <v>103</v>
      </c>
      <c r="F16" s="11"/>
      <c r="H16">
        <v>95</v>
      </c>
      <c r="I16">
        <f t="shared" si="0"/>
        <v>95</v>
      </c>
      <c r="J16" s="13">
        <f t="shared" si="1"/>
        <v>100</v>
      </c>
    </row>
    <row r="17" spans="2:10">
      <c r="B17" s="10">
        <v>13</v>
      </c>
      <c r="C17" s="10">
        <v>1006</v>
      </c>
      <c r="D17" s="9" t="s">
        <v>28</v>
      </c>
      <c r="E17" s="11" t="s">
        <v>115</v>
      </c>
      <c r="F17" s="11"/>
      <c r="H17">
        <v>95</v>
      </c>
      <c r="I17">
        <f t="shared" si="0"/>
        <v>95</v>
      </c>
      <c r="J17" s="13">
        <f t="shared" si="1"/>
        <v>100</v>
      </c>
    </row>
    <row r="18" spans="2:10">
      <c r="B18" s="10">
        <v>14</v>
      </c>
      <c r="C18" s="10">
        <v>991</v>
      </c>
      <c r="D18" s="9" t="s">
        <v>29</v>
      </c>
      <c r="E18" s="11" t="s">
        <v>116</v>
      </c>
      <c r="F18" s="11" t="s">
        <v>117</v>
      </c>
      <c r="G18">
        <v>39</v>
      </c>
      <c r="H18">
        <v>95</v>
      </c>
      <c r="I18">
        <f t="shared" si="0"/>
        <v>56</v>
      </c>
      <c r="J18" s="13">
        <f t="shared" si="1"/>
        <v>58.9473684210526</v>
      </c>
    </row>
    <row r="19" spans="2:10">
      <c r="B19" s="10">
        <v>15</v>
      </c>
      <c r="C19" s="10">
        <v>1006</v>
      </c>
      <c r="D19" s="9" t="s">
        <v>30</v>
      </c>
      <c r="E19" s="11" t="s">
        <v>118</v>
      </c>
      <c r="F19" s="11"/>
      <c r="G19">
        <v>48</v>
      </c>
      <c r="H19">
        <v>95</v>
      </c>
      <c r="I19">
        <f t="shared" si="0"/>
        <v>47</v>
      </c>
      <c r="J19" s="13">
        <f t="shared" si="1"/>
        <v>49.4736842105263</v>
      </c>
    </row>
    <row r="20" spans="2:10">
      <c r="B20" s="10">
        <v>16</v>
      </c>
      <c r="C20" s="10">
        <v>1035</v>
      </c>
      <c r="D20" s="9" t="s">
        <v>31</v>
      </c>
      <c r="E20" s="11" t="s">
        <v>119</v>
      </c>
      <c r="F20" s="11"/>
      <c r="G20">
        <v>39</v>
      </c>
      <c r="H20">
        <v>95</v>
      </c>
      <c r="I20">
        <f t="shared" si="0"/>
        <v>56</v>
      </c>
      <c r="J20" s="13">
        <f t="shared" si="1"/>
        <v>58.9473684210526</v>
      </c>
    </row>
    <row r="21" spans="2:10">
      <c r="B21" s="10">
        <v>17</v>
      </c>
      <c r="C21" s="10">
        <v>1088</v>
      </c>
      <c r="D21" s="9" t="s">
        <v>32</v>
      </c>
      <c r="E21" s="12" t="s">
        <v>120</v>
      </c>
      <c r="F21" s="11" t="s">
        <v>121</v>
      </c>
      <c r="H21">
        <v>95</v>
      </c>
      <c r="I21">
        <f t="shared" si="0"/>
        <v>95</v>
      </c>
      <c r="J21" s="13">
        <f t="shared" si="1"/>
        <v>100</v>
      </c>
    </row>
    <row r="22" spans="2:10">
      <c r="B22" s="10">
        <v>18</v>
      </c>
      <c r="C22" s="10">
        <v>1016</v>
      </c>
      <c r="D22" s="9" t="s">
        <v>33</v>
      </c>
      <c r="E22" s="11" t="s">
        <v>122</v>
      </c>
      <c r="F22" s="11"/>
      <c r="G22">
        <v>11</v>
      </c>
      <c r="H22">
        <v>95</v>
      </c>
      <c r="I22">
        <f t="shared" si="0"/>
        <v>84</v>
      </c>
      <c r="J22" s="13">
        <f t="shared" si="1"/>
        <v>88.4210526315789</v>
      </c>
    </row>
    <row r="23" spans="2:10">
      <c r="B23" s="10">
        <v>19</v>
      </c>
      <c r="C23" s="10">
        <v>1062</v>
      </c>
      <c r="D23" s="9" t="s">
        <v>34</v>
      </c>
      <c r="E23" s="11" t="s">
        <v>123</v>
      </c>
      <c r="F23" s="11" t="s">
        <v>124</v>
      </c>
      <c r="G23">
        <v>13</v>
      </c>
      <c r="H23">
        <v>95</v>
      </c>
      <c r="I23">
        <f t="shared" si="0"/>
        <v>82</v>
      </c>
      <c r="J23" s="13">
        <f t="shared" si="1"/>
        <v>86.3157894736842</v>
      </c>
    </row>
    <row r="24" spans="2:10">
      <c r="B24" s="10">
        <v>20</v>
      </c>
      <c r="C24" s="10">
        <v>1029</v>
      </c>
      <c r="D24" s="9" t="s">
        <v>35</v>
      </c>
      <c r="E24" s="11" t="s">
        <v>125</v>
      </c>
      <c r="F24" s="11"/>
      <c r="G24">
        <v>15</v>
      </c>
      <c r="H24">
        <v>95</v>
      </c>
      <c r="I24">
        <f t="shared" si="0"/>
        <v>80</v>
      </c>
      <c r="J24" s="13">
        <f t="shared" si="1"/>
        <v>84.2105263157895</v>
      </c>
    </row>
    <row r="25" spans="2:10">
      <c r="B25" s="10">
        <v>21</v>
      </c>
      <c r="C25" s="10">
        <v>994</v>
      </c>
      <c r="D25" s="9" t="s">
        <v>36</v>
      </c>
      <c r="E25" s="11" t="s">
        <v>126</v>
      </c>
      <c r="F25" s="11" t="s">
        <v>127</v>
      </c>
      <c r="G25"/>
      <c r="H25">
        <v>95</v>
      </c>
      <c r="I25">
        <f t="shared" si="0"/>
        <v>95</v>
      </c>
      <c r="J25" s="13">
        <f t="shared" si="1"/>
        <v>100</v>
      </c>
    </row>
    <row r="26" spans="2:10">
      <c r="B26" s="10">
        <v>22</v>
      </c>
      <c r="C26" s="10">
        <v>799</v>
      </c>
      <c r="D26" s="9" t="s">
        <v>37</v>
      </c>
      <c r="E26" s="11" t="s">
        <v>128</v>
      </c>
      <c r="F26" s="11"/>
      <c r="G26">
        <v>32</v>
      </c>
      <c r="H26">
        <v>95</v>
      </c>
      <c r="I26">
        <f t="shared" si="0"/>
        <v>63</v>
      </c>
      <c r="J26" s="13">
        <f t="shared" si="1"/>
        <v>66.3157894736842</v>
      </c>
    </row>
    <row r="27" spans="2:10">
      <c r="B27" s="10">
        <v>23</v>
      </c>
      <c r="C27" s="10">
        <v>1091</v>
      </c>
      <c r="D27" s="9" t="s">
        <v>38</v>
      </c>
      <c r="E27" s="11" t="s">
        <v>129</v>
      </c>
      <c r="F27" s="11" t="s">
        <v>130</v>
      </c>
      <c r="G27"/>
      <c r="H27">
        <v>95</v>
      </c>
      <c r="I27">
        <f t="shared" si="0"/>
        <v>95</v>
      </c>
      <c r="J27" s="13">
        <f t="shared" si="1"/>
        <v>100</v>
      </c>
    </row>
    <row r="28" spans="2:10">
      <c r="B28" s="10">
        <v>24</v>
      </c>
      <c r="C28" s="10">
        <v>1221</v>
      </c>
      <c r="D28" s="9" t="s">
        <v>39</v>
      </c>
      <c r="E28" s="11" t="s">
        <v>131</v>
      </c>
      <c r="F28" s="11"/>
      <c r="G28">
        <v>16</v>
      </c>
      <c r="H28">
        <v>95</v>
      </c>
      <c r="I28">
        <f t="shared" si="0"/>
        <v>79</v>
      </c>
      <c r="J28" s="13">
        <f t="shared" si="1"/>
        <v>83.1578947368421</v>
      </c>
    </row>
  </sheetData>
  <mergeCells count="2">
    <mergeCell ref="B2:D2"/>
    <mergeCell ref="E2:F2"/>
  </mergeCells>
  <pageMargins left="0.7" right="0.7" top="0.75" bottom="0.75" header="0.3" footer="0.3"/>
  <pageSetup paperSize="1"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Calificaciones</vt:lpstr>
      <vt:lpstr>Tareas</vt:lpstr>
      <vt:lpstr>Cuaderno</vt:lpstr>
      <vt:lpstr>Incidencias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Guerra Santibanez Elisa (BGSW/EBS3.1-SX)</dc:creator>
  <cp:lastModifiedBy>activ</cp:lastModifiedBy>
  <dcterms:created xsi:type="dcterms:W3CDTF">2025-11-01T17:31:00Z</dcterms:created>
  <dcterms:modified xsi:type="dcterms:W3CDTF">2025-11-14T22:02:05Z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8EE7C113E98E48888CB9CD06F3DFCDEC_12</vt:lpwstr>
  </property>
  <property fmtid="{D5CDD505-2E9C-101B-9397-08002B2CF9AE}" pid="3" name="KSOProductBuildVer">
    <vt:lpwstr>2058-12.2.0.23155</vt:lpwstr>
  </property>
</Properties>
</file>