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Calificaciones" sheetId="3" r:id="rId1"/>
    <sheet name="Tareas" sheetId="1" r:id="rId2"/>
    <sheet name="Libro" sheetId="6" r:id="rId3"/>
    <sheet name="Cuaderno" sheetId="8" r:id="rId4"/>
    <sheet name="Incidencias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<sst xmlns="http://schemas.openxmlformats.org/spreadsheetml/2006/main" count="180" uniqueCount="123">
  <si>
    <t>N9 SECUNDARIA 3°A</t>
  </si>
  <si>
    <t>Historia</t>
  </si>
  <si>
    <t>Concepto a Calificar</t>
  </si>
  <si>
    <t>Examen 1</t>
  </si>
  <si>
    <t>Examen 2</t>
  </si>
  <si>
    <t>Examen Trimestral</t>
  </si>
  <si>
    <t>Disciplina</t>
  </si>
  <si>
    <t>Tareas</t>
  </si>
  <si>
    <t>Registro Diario</t>
  </si>
  <si>
    <t>Proyecto</t>
  </si>
  <si>
    <t>Promedio</t>
  </si>
  <si>
    <t>Comentario de Apoyo Requerido</t>
  </si>
  <si>
    <t>Porcentaje</t>
  </si>
  <si>
    <t>No.</t>
  </si>
  <si>
    <t>Matrícula</t>
  </si>
  <si>
    <t>Nombre del Alumno</t>
  </si>
  <si>
    <t>Abarca Sanchez Gabriel Alejandro</t>
  </si>
  <si>
    <t>Almanza Rocha Alessandra Samantha</t>
  </si>
  <si>
    <t>Chavez Cardenas Jaime Andres</t>
  </si>
  <si>
    <t>Gomez Zamora Eduardo</t>
  </si>
  <si>
    <t>Martinez Elizondo Iker Matias</t>
  </si>
  <si>
    <t>Matute Castillo Danna Alessandra</t>
  </si>
  <si>
    <t>Velazquez Salazar Valentina</t>
  </si>
  <si>
    <t>TOTAL</t>
  </si>
  <si>
    <t>Tarea</t>
  </si>
  <si>
    <t>¿Qué es el ADN?</t>
  </si>
  <si>
    <t>Civilizaciones Egipto, Mesopotamia y China</t>
  </si>
  <si>
    <t>Fósiles de homínidos</t>
  </si>
  <si>
    <t>Investigación de un homínido antepasado</t>
  </si>
  <si>
    <t>La teoría de la evolución de Darwin</t>
  </si>
  <si>
    <t>Civilizaciones India, Grecia y Roma</t>
  </si>
  <si>
    <t>Ideas de la evolución de Darwin</t>
  </si>
  <si>
    <t>¿Qué es la antropología?</t>
  </si>
  <si>
    <t>Jerarquización de las civilizaciones antiguas,</t>
  </si>
  <si>
    <t>Países que rodean el mar mediterráneo</t>
  </si>
  <si>
    <t>Biografía de Cleopatra o Julio César</t>
  </si>
  <si>
    <t> Mito o leyenda de la edad media </t>
  </si>
  <si>
    <t>¿Qué es la teología?</t>
  </si>
  <si>
    <t>Maqueta de un castillo medieval</t>
  </si>
  <si>
    <t>Mapa de Europa con los respectivos renos feudales</t>
  </si>
  <si>
    <t>Aportes de la cultura árabe a la cultura occidental</t>
  </si>
  <si>
    <t>Imagen sobre una pintura o escultura renacentista</t>
  </si>
  <si>
    <t>Biografía de algún artista renacentista</t>
  </si>
  <si>
    <t>El turismo actual</t>
  </si>
  <si>
    <t>Lunes 8/9/2025</t>
  </si>
  <si>
    <t>Miércoles 10/9/2025</t>
  </si>
  <si>
    <t>Jueves 11/9/2026</t>
  </si>
  <si>
    <t>Lunes 15/9/2025</t>
  </si>
  <si>
    <t>Miércoles 17/9/2024</t>
  </si>
  <si>
    <t>Jueves 18/9/2025</t>
  </si>
  <si>
    <t>Lunes 22/9/2025</t>
  </si>
  <si>
    <t>Miércoles 24/9/2025</t>
  </si>
  <si>
    <t>Jueves 25/9/2025</t>
  </si>
  <si>
    <t>Lunes 29/9/2025</t>
  </si>
  <si>
    <t>Miércoles 1/10/2025</t>
  </si>
  <si>
    <t>Jueves 2/10/2025</t>
  </si>
  <si>
    <t>Lunes 6/10/2025</t>
  </si>
  <si>
    <t>Miércoles 8/10/2025</t>
  </si>
  <si>
    <t>Jueves 9/10/2025</t>
  </si>
  <si>
    <t>Lunes 13/10/2025</t>
  </si>
  <si>
    <t>Miércoles 15/10/2025</t>
  </si>
  <si>
    <t>Jueves 16/10/2025</t>
  </si>
  <si>
    <t>Lunes 20/10/2025</t>
  </si>
  <si>
    <t>Miércoles 22/10/2025</t>
  </si>
  <si>
    <t>Jueves 23/10/2025</t>
  </si>
  <si>
    <t>Lunes 27/10/2025</t>
  </si>
  <si>
    <t>Miércoles 29/10/2025</t>
  </si>
  <si>
    <t>Jueves 30/10/2025</t>
  </si>
  <si>
    <t>Lunes 3/11/2025</t>
  </si>
  <si>
    <t>Páginas</t>
  </si>
  <si>
    <t>10 - 15</t>
  </si>
  <si>
    <t>16 - 17</t>
  </si>
  <si>
    <t>19 - 21</t>
  </si>
  <si>
    <t>22 - 24</t>
  </si>
  <si>
    <t>25 - 28</t>
  </si>
  <si>
    <t>29 - 30</t>
  </si>
  <si>
    <t>31 - 34</t>
  </si>
  <si>
    <t>37 - 39</t>
  </si>
  <si>
    <t>40 -42</t>
  </si>
  <si>
    <t>43 - 44</t>
  </si>
  <si>
    <t>45 -49</t>
  </si>
  <si>
    <t>50 - 51</t>
  </si>
  <si>
    <t>52 - 55</t>
  </si>
  <si>
    <t>56 - 58</t>
  </si>
  <si>
    <t>59 - 60</t>
  </si>
  <si>
    <t>61 - 62</t>
  </si>
  <si>
    <t>63 - 69</t>
  </si>
  <si>
    <t>70 - 74</t>
  </si>
  <si>
    <t>75 - 80</t>
  </si>
  <si>
    <t>Examen Diagnóstico</t>
  </si>
  <si>
    <t>La Independencia de México</t>
  </si>
  <si>
    <t>Antropología natural</t>
  </si>
  <si>
    <t>La antropología</t>
  </si>
  <si>
    <t>Civilizaciones antiguas pt.1</t>
  </si>
  <si>
    <t>Civilizaciones antiguas pt.2</t>
  </si>
  <si>
    <t>Trabajo de campo</t>
  </si>
  <si>
    <t>El mediterraneo y su importancia</t>
  </si>
  <si>
    <t>Cultura Romana</t>
  </si>
  <si>
    <t>Edad media</t>
  </si>
  <si>
    <t>Imaginario medieval</t>
  </si>
  <si>
    <t>Sociedad feudal</t>
  </si>
  <si>
    <t>Cultura Árabe</t>
  </si>
  <si>
    <t>Renacimiento</t>
  </si>
  <si>
    <t>Ciudades Halianas</t>
  </si>
  <si>
    <t>El humanismo</t>
  </si>
  <si>
    <t>Filosofía escolastica</t>
  </si>
  <si>
    <t>Colonización de Ámerica, África y Asia</t>
  </si>
  <si>
    <t>Revisión de examen</t>
  </si>
  <si>
    <t>Examen</t>
  </si>
  <si>
    <t>Periodo colonial en América pt. 1</t>
  </si>
  <si>
    <t>Periodo colonial en América pt. 2</t>
  </si>
  <si>
    <t>La conmemoración de la Revolución Mexicana</t>
  </si>
  <si>
    <t>Esclavitud</t>
  </si>
  <si>
    <t>Colonias inglesas en América pt.1</t>
  </si>
  <si>
    <t>Colonias inglesas en América pt.2</t>
  </si>
  <si>
    <t>1</t>
  </si>
  <si>
    <t>Concepto</t>
  </si>
  <si>
    <t>Revisión del Libro</t>
  </si>
  <si>
    <t>Libro pp.</t>
  </si>
  <si>
    <t>Libro pp. 23, 31, 32, 33, 35, 40, 41, 44, 75, 76</t>
  </si>
  <si>
    <t>Libro pp</t>
  </si>
  <si>
    <t>Libro pp. 18</t>
  </si>
  <si>
    <t>Libro pp. 10, 11, 12, 13, 14, 15, 16, 17, 18, 19, 20, 21, 31, 32, 33, 34, 35, 43, 49, 63, 64, 65, 66, 67, 68, 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</si>
</sst>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6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 applyAlignment="1">
      <alignment horizontal="left"/>
    </xf>
    <xf numFmtId="49" fontId="0" fillId="3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/>
    </xf>
    <xf numFmtId="4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178" fontId="0" fillId="4" borderId="1" xfId="0" applyNumberForma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/>
    </xf>
    <xf numFmtId="0" fontId="0" fillId="5" borderId="1" xfId="0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textRotation="90"/>
    </xf>
    <xf numFmtId="0" fontId="3" fillId="6" borderId="1" xfId="0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textRotation="90" wrapText="1"/>
    </xf>
    <xf numFmtId="178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9" fontId="0" fillId="0" borderId="1" xfId="0" applyNumberFormat="1" applyBorder="1" applyAlignment="1">
      <alignment horizontal="center"/>
    </xf>
    <xf numFmtId="178" fontId="0" fillId="4" borderId="1" xfId="0" applyNumberFormat="1" applyFill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178" fontId="1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3"/>
  <sheetViews>
    <sheetView zoomScale="210" zoomScaleNormal="210" topLeftCell="E3" workbookViewId="0">
      <selection activeCell="F15" sqref="F15"/>
    </sheetView>
  </sheetViews>
  <sheetFormatPr defaultColWidth="9" defaultRowHeight="13.8"/>
  <cols>
    <col min="3" max="3" width="12.5583333333333" customWidth="1"/>
    <col min="4" max="4" width="34.8833333333333" customWidth="1"/>
    <col min="5" max="6" width="9.33333333333333" customWidth="1"/>
    <col min="7" max="7" width="17.5583333333333" customWidth="1"/>
    <col min="8" max="8" width="10" customWidth="1"/>
    <col min="9" max="9" width="6.88333333333333" customWidth="1"/>
    <col min="10" max="10" width="14.1083333333333" customWidth="1"/>
    <col min="11" max="11" width="8.55833333333333" customWidth="1"/>
    <col min="12" max="12" width="9.55833333333333" customWidth="1"/>
    <col min="13" max="13" width="29.8833333333333" customWidth="1"/>
  </cols>
  <sheetData>
    <row r="2" spans="2:13">
      <c r="B2" s="1" t="s">
        <v>0</v>
      </c>
      <c r="C2" s="1"/>
      <c r="D2" s="1"/>
      <c r="E2" s="1" t="s">
        <v>1</v>
      </c>
      <c r="F2" s="1"/>
      <c r="G2" s="1"/>
      <c r="H2" s="1"/>
      <c r="I2" s="1"/>
      <c r="J2" s="1"/>
      <c r="K2" s="1"/>
      <c r="L2" s="1"/>
      <c r="M2" s="1"/>
    </row>
    <row r="3" spans="2:13">
      <c r="B3" s="2"/>
      <c r="C3" s="2"/>
      <c r="D3" s="36" t="s">
        <v>2</v>
      </c>
      <c r="E3" s="22" t="s">
        <v>3</v>
      </c>
      <c r="F3" s="22" t="s">
        <v>4</v>
      </c>
      <c r="G3" s="22" t="s">
        <v>5</v>
      </c>
      <c r="H3" s="22" t="s">
        <v>6</v>
      </c>
      <c r="I3" s="22" t="s">
        <v>7</v>
      </c>
      <c r="J3" s="22" t="s">
        <v>8</v>
      </c>
      <c r="K3" s="22" t="s">
        <v>9</v>
      </c>
      <c r="L3" s="22" t="s">
        <v>10</v>
      </c>
      <c r="M3" s="22" t="s">
        <v>11</v>
      </c>
    </row>
    <row r="4" spans="2:13">
      <c r="B4" s="10"/>
      <c r="C4" s="10"/>
      <c r="D4" s="10" t="s">
        <v>12</v>
      </c>
      <c r="E4" s="37">
        <v>0.09</v>
      </c>
      <c r="F4" s="37">
        <v>0.09</v>
      </c>
      <c r="G4" s="37">
        <v>0.25</v>
      </c>
      <c r="H4" s="37">
        <v>0.07</v>
      </c>
      <c r="I4" s="37">
        <v>0.2</v>
      </c>
      <c r="J4" s="37">
        <v>0.2</v>
      </c>
      <c r="K4" s="37">
        <v>0.1</v>
      </c>
      <c r="L4" s="2"/>
      <c r="M4" s="10"/>
    </row>
    <row r="5" spans="2:13">
      <c r="B5" s="5" t="s">
        <v>13</v>
      </c>
      <c r="C5" s="5" t="s">
        <v>14</v>
      </c>
      <c r="D5" s="6" t="s">
        <v>15</v>
      </c>
      <c r="E5" s="10"/>
      <c r="F5" s="10"/>
      <c r="G5" s="10"/>
      <c r="H5" s="10"/>
      <c r="I5" s="10"/>
      <c r="J5" s="10"/>
      <c r="K5" s="10"/>
      <c r="L5" s="2"/>
      <c r="M5" s="10"/>
    </row>
    <row r="6" spans="2:13">
      <c r="B6" s="8">
        <v>1</v>
      </c>
      <c r="C6" s="8">
        <v>1045</v>
      </c>
      <c r="D6" t="s">
        <v>16</v>
      </c>
      <c r="E6" s="38">
        <v>0</v>
      </c>
      <c r="F6" s="39">
        <v>10</v>
      </c>
      <c r="G6" s="39">
        <v>0</v>
      </c>
      <c r="H6" s="39">
        <v>0</v>
      </c>
      <c r="I6" s="39">
        <f>Tareas!Y6</f>
        <v>0</v>
      </c>
      <c r="J6" s="39">
        <f>Libro!AD6*0.5</f>
        <v>4.78409090909091</v>
      </c>
      <c r="K6" s="39">
        <v>0</v>
      </c>
      <c r="L6" s="35">
        <f>E6*0.09+F6*0.09+G8*0.25+H6*0.07+I6*0.2+J6*0.2+K6*0.1</f>
        <v>1.85681818181818</v>
      </c>
      <c r="M6" s="10"/>
    </row>
    <row r="7" spans="2:13">
      <c r="B7" s="8">
        <v>2</v>
      </c>
      <c r="C7" s="8">
        <v>1060</v>
      </c>
      <c r="D7" s="10" t="s">
        <v>17</v>
      </c>
      <c r="E7" s="39">
        <v>6</v>
      </c>
      <c r="F7" s="39">
        <v>9.3</v>
      </c>
      <c r="G7" s="39">
        <v>0</v>
      </c>
      <c r="H7" s="39">
        <v>0</v>
      </c>
      <c r="I7" s="39">
        <f>Tareas!Y7</f>
        <v>8.94736842105263</v>
      </c>
      <c r="J7" s="39">
        <f>Libro!AD7*0.5</f>
        <v>4.72727272727273</v>
      </c>
      <c r="K7" s="39">
        <v>0</v>
      </c>
      <c r="L7" s="35">
        <f t="shared" ref="L7:L12" si="0">E7*0.09+F7*0.09+G7*0.25+H7*0.07+I7*0.2+J7*0.2+K7*0.1</f>
        <v>4.11192822966507</v>
      </c>
      <c r="M7" s="10"/>
    </row>
    <row r="8" spans="2:13">
      <c r="B8" s="8">
        <v>3</v>
      </c>
      <c r="C8" s="8">
        <v>1108</v>
      </c>
      <c r="D8" s="10" t="s">
        <v>18</v>
      </c>
      <c r="E8" s="39">
        <v>7</v>
      </c>
      <c r="F8" s="39">
        <v>10</v>
      </c>
      <c r="G8" s="39">
        <v>0</v>
      </c>
      <c r="H8" s="39">
        <v>0</v>
      </c>
      <c r="I8" s="39">
        <f>Tareas!Y8</f>
        <v>3.68421052631579</v>
      </c>
      <c r="J8" s="39">
        <f>Libro!AD8*0.5</f>
        <v>4.01136363636364</v>
      </c>
      <c r="K8" s="39">
        <v>0</v>
      </c>
      <c r="L8" s="35">
        <f t="shared" si="0"/>
        <v>3.06911483253589</v>
      </c>
      <c r="M8" s="10"/>
    </row>
    <row r="9" spans="2:13">
      <c r="B9" s="8">
        <v>4</v>
      </c>
      <c r="C9" s="8">
        <v>876</v>
      </c>
      <c r="D9" s="10" t="s">
        <v>19</v>
      </c>
      <c r="E9" s="39">
        <v>6</v>
      </c>
      <c r="F9" s="39">
        <v>10</v>
      </c>
      <c r="G9" s="39">
        <v>0</v>
      </c>
      <c r="H9" s="39">
        <v>0</v>
      </c>
      <c r="I9" s="39">
        <f>Tareas!Y9</f>
        <v>8.94736842105263</v>
      </c>
      <c r="J9" s="39">
        <f>Libro!AD9*0.5</f>
        <v>5</v>
      </c>
      <c r="K9" s="39">
        <v>0</v>
      </c>
      <c r="L9" s="35">
        <f t="shared" si="0"/>
        <v>4.22947368421053</v>
      </c>
      <c r="M9" s="10"/>
    </row>
    <row r="10" spans="2:13">
      <c r="B10" s="8">
        <v>5</v>
      </c>
      <c r="C10" s="8">
        <v>639</v>
      </c>
      <c r="D10" s="10" t="s">
        <v>20</v>
      </c>
      <c r="E10" s="39">
        <v>8</v>
      </c>
      <c r="F10" s="39">
        <v>9.3</v>
      </c>
      <c r="G10" s="39">
        <v>0</v>
      </c>
      <c r="H10" s="39">
        <v>0</v>
      </c>
      <c r="I10" s="39">
        <f>Tareas!Y10</f>
        <v>6.31578947368421</v>
      </c>
      <c r="J10" s="39">
        <f>Libro!AD10*0.5</f>
        <v>4.71590909090909</v>
      </c>
      <c r="K10" s="39">
        <v>0</v>
      </c>
      <c r="L10" s="35">
        <f t="shared" si="0"/>
        <v>3.76333971291866</v>
      </c>
      <c r="M10" s="10"/>
    </row>
    <row r="11" spans="2:13">
      <c r="B11" s="8">
        <v>6</v>
      </c>
      <c r="C11" s="8">
        <v>1224</v>
      </c>
      <c r="D11" s="10" t="s">
        <v>21</v>
      </c>
      <c r="E11" s="39">
        <v>8</v>
      </c>
      <c r="F11" s="39">
        <v>8</v>
      </c>
      <c r="G11" s="39">
        <v>0</v>
      </c>
      <c r="H11" s="39">
        <v>0</v>
      </c>
      <c r="I11" s="39">
        <f>Tareas!Y11</f>
        <v>8.42105263157895</v>
      </c>
      <c r="J11" s="39">
        <f>Libro!AD11*0.5</f>
        <v>3.04545454545455</v>
      </c>
      <c r="K11" s="39">
        <v>0</v>
      </c>
      <c r="L11" s="35">
        <f t="shared" si="0"/>
        <v>3.7333014354067</v>
      </c>
      <c r="M11" s="10"/>
    </row>
    <row r="12" spans="2:13">
      <c r="B12" s="8">
        <v>7</v>
      </c>
      <c r="C12" s="8">
        <v>1069</v>
      </c>
      <c r="D12" s="10" t="s">
        <v>22</v>
      </c>
      <c r="E12" s="39">
        <v>5</v>
      </c>
      <c r="F12" s="39">
        <v>8.7</v>
      </c>
      <c r="G12" s="39">
        <v>0</v>
      </c>
      <c r="H12" s="39">
        <v>0</v>
      </c>
      <c r="I12" s="39">
        <f>Tareas!Y12</f>
        <v>5.26315789473684</v>
      </c>
      <c r="J12" s="39">
        <f>Libro!AD12*0.5</f>
        <v>4.95454545454545</v>
      </c>
      <c r="K12" s="39">
        <v>0</v>
      </c>
      <c r="L12" s="35">
        <f t="shared" si="0"/>
        <v>3.27654066985646</v>
      </c>
      <c r="M12" s="10"/>
    </row>
    <row r="13" spans="2:13">
      <c r="B13" s="40" t="s">
        <v>23</v>
      </c>
      <c r="C13" s="41"/>
      <c r="D13" s="42"/>
      <c r="E13" s="43">
        <f t="shared" ref="E13:L13" si="1">AVERAGE(E6:E12)</f>
        <v>5.71428571428571</v>
      </c>
      <c r="F13" s="43">
        <f t="shared" si="1"/>
        <v>9.32857142857143</v>
      </c>
      <c r="G13" s="43">
        <f t="shared" si="1"/>
        <v>0</v>
      </c>
      <c r="H13" s="43">
        <f t="shared" si="1"/>
        <v>0</v>
      </c>
      <c r="I13" s="43">
        <f t="shared" si="1"/>
        <v>5.93984962406015</v>
      </c>
      <c r="J13" s="43">
        <f t="shared" si="1"/>
        <v>4.46266233766234</v>
      </c>
      <c r="K13" s="43">
        <f t="shared" si="1"/>
        <v>0</v>
      </c>
      <c r="L13" s="43">
        <f t="shared" si="1"/>
        <v>3.43435953520164</v>
      </c>
      <c r="M13" s="44"/>
    </row>
  </sheetData>
  <mergeCells count="3">
    <mergeCell ref="B2:D2"/>
    <mergeCell ref="E2:M2"/>
    <mergeCell ref="B13:D1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Z12"/>
  <sheetViews>
    <sheetView tabSelected="1" zoomScale="80" zoomScaleNormal="80" topLeftCell="A3" workbookViewId="0">
      <selection activeCell="Z22" sqref="Z22"/>
    </sheetView>
  </sheetViews>
  <sheetFormatPr defaultColWidth="9" defaultRowHeight="13.8"/>
  <cols>
    <col min="3" max="3" width="12.5583333333333" customWidth="1"/>
    <col min="4" max="4" width="34.8833333333333" customWidth="1"/>
    <col min="5" max="5" width="4.55833333333333" customWidth="1"/>
    <col min="6" max="6" width="6.55833333333333" customWidth="1"/>
    <col min="7" max="7" width="4.33333333333333" customWidth="1"/>
    <col min="8" max="11" width="6.55833333333333" customWidth="1"/>
    <col min="12" max="12" width="8" customWidth="1"/>
    <col min="13" max="13" width="9.33333333333333" customWidth="1"/>
    <col min="14" max="16" width="6.55833333333333" customWidth="1"/>
    <col min="17" max="17" width="4.33333333333333" customWidth="1"/>
    <col min="18" max="23" width="6.55833333333333" customWidth="1"/>
    <col min="24" max="24" width="4.66666666666667" customWidth="1"/>
    <col min="25" max="25" width="12.4416666666667" customWidth="1"/>
  </cols>
  <sheetData>
    <row r="2" spans="2:25">
      <c r="B2" s="1" t="s">
        <v>0</v>
      </c>
      <c r="C2" s="1"/>
      <c r="D2" s="1"/>
      <c r="E2" s="1"/>
      <c r="F2" s="1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47.75" customHeight="1" spans="2:25">
      <c r="B3" s="22"/>
      <c r="C3" s="22"/>
      <c r="D3" s="11" t="s">
        <v>24</v>
      </c>
      <c r="E3" s="19" t="s">
        <v>25</v>
      </c>
      <c r="F3" s="19" t="s">
        <v>26</v>
      </c>
      <c r="G3" s="19" t="s">
        <v>27</v>
      </c>
      <c r="H3" s="19" t="s">
        <v>28</v>
      </c>
      <c r="I3" s="19" t="s">
        <v>29</v>
      </c>
      <c r="J3" s="19" t="s">
        <v>30</v>
      </c>
      <c r="K3" s="19" t="s">
        <v>31</v>
      </c>
      <c r="L3" s="19" t="s">
        <v>32</v>
      </c>
      <c r="M3" s="19" t="s">
        <v>33</v>
      </c>
      <c r="N3" s="19" t="s">
        <v>34</v>
      </c>
      <c r="O3" s="19" t="s">
        <v>35</v>
      </c>
      <c r="P3" s="19" t="s">
        <v>36</v>
      </c>
      <c r="Q3" s="19" t="s">
        <v>37</v>
      </c>
      <c r="R3" s="19" t="s">
        <v>38</v>
      </c>
      <c r="S3" s="19" t="s">
        <v>39</v>
      </c>
      <c r="T3" s="19" t="s">
        <v>40</v>
      </c>
      <c r="U3" s="34" t="s">
        <v>36</v>
      </c>
      <c r="V3" s="34" t="s">
        <v>41</v>
      </c>
      <c r="W3" s="34" t="s">
        <v>42</v>
      </c>
      <c r="X3" s="34" t="s">
        <v>43</v>
      </c>
      <c r="Y3" s="22" t="s">
        <v>10</v>
      </c>
    </row>
    <row r="4" spans="2:25">
      <c r="B4" s="22"/>
      <c r="C4" s="22"/>
      <c r="D4" s="11"/>
      <c r="E4" s="11">
        <v>1</v>
      </c>
      <c r="F4" s="22">
        <v>2</v>
      </c>
      <c r="G4" s="22">
        <v>3</v>
      </c>
      <c r="H4" s="22">
        <v>4</v>
      </c>
      <c r="I4" s="22">
        <v>5</v>
      </c>
      <c r="J4" s="11">
        <v>6</v>
      </c>
      <c r="K4" s="22">
        <v>7</v>
      </c>
      <c r="L4" s="22">
        <v>8</v>
      </c>
      <c r="M4" s="11">
        <v>9</v>
      </c>
      <c r="N4" s="22">
        <v>10</v>
      </c>
      <c r="O4" s="22">
        <v>11</v>
      </c>
      <c r="P4" s="11">
        <v>12</v>
      </c>
      <c r="Q4" s="22">
        <v>13</v>
      </c>
      <c r="R4" s="22">
        <v>14</v>
      </c>
      <c r="S4" s="11">
        <v>15</v>
      </c>
      <c r="T4" s="22">
        <v>16</v>
      </c>
      <c r="U4" s="11">
        <v>17</v>
      </c>
      <c r="V4" s="22">
        <v>18</v>
      </c>
      <c r="W4" s="22">
        <v>19</v>
      </c>
      <c r="X4" s="11">
        <v>20</v>
      </c>
      <c r="Y4" s="22"/>
    </row>
    <row r="5" spans="2:25">
      <c r="B5" s="5" t="s">
        <v>13</v>
      </c>
      <c r="C5" s="5" t="s">
        <v>14</v>
      </c>
      <c r="D5" s="6" t="s">
        <v>15</v>
      </c>
      <c r="E5" s="6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2"/>
    </row>
    <row r="6" spans="2:26">
      <c r="B6" s="8">
        <v>1</v>
      </c>
      <c r="C6" s="8">
        <v>1045</v>
      </c>
      <c r="D6" t="s">
        <v>16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35">
        <f t="shared" ref="Y6:Y12" si="0">AVERAGE(F6:X6)</f>
        <v>0</v>
      </c>
      <c r="Z6">
        <v>10</v>
      </c>
    </row>
    <row r="7" spans="2:26">
      <c r="B7" s="8">
        <v>2</v>
      </c>
      <c r="C7" s="8">
        <v>1060</v>
      </c>
      <c r="D7" s="10" t="s">
        <v>17</v>
      </c>
      <c r="E7" s="17">
        <v>10</v>
      </c>
      <c r="F7" s="17">
        <v>10</v>
      </c>
      <c r="G7" s="18">
        <v>0</v>
      </c>
      <c r="H7" s="18">
        <v>10</v>
      </c>
      <c r="I7" s="18">
        <v>10</v>
      </c>
      <c r="J7" s="17">
        <v>10</v>
      </c>
      <c r="K7" s="18">
        <v>10</v>
      </c>
      <c r="L7" s="18">
        <v>10</v>
      </c>
      <c r="M7" s="18">
        <v>10</v>
      </c>
      <c r="N7" s="18">
        <v>10</v>
      </c>
      <c r="O7" s="18">
        <v>10</v>
      </c>
      <c r="P7" s="18">
        <v>0</v>
      </c>
      <c r="Q7" s="17">
        <v>10</v>
      </c>
      <c r="R7" s="17">
        <v>10</v>
      </c>
      <c r="S7" s="18">
        <v>10</v>
      </c>
      <c r="T7" s="18">
        <v>10</v>
      </c>
      <c r="U7" s="18">
        <v>10</v>
      </c>
      <c r="V7" s="18">
        <v>10</v>
      </c>
      <c r="W7" s="18">
        <v>10</v>
      </c>
      <c r="X7" s="17">
        <v>10</v>
      </c>
      <c r="Y7" s="35">
        <f t="shared" si="0"/>
        <v>8.94736842105263</v>
      </c>
      <c r="Z7">
        <v>9.4</v>
      </c>
    </row>
    <row r="8" spans="2:26">
      <c r="B8" s="8">
        <v>3</v>
      </c>
      <c r="C8" s="8">
        <v>1108</v>
      </c>
      <c r="D8" s="10" t="s">
        <v>18</v>
      </c>
      <c r="E8" s="17">
        <v>0</v>
      </c>
      <c r="F8" s="17">
        <v>0</v>
      </c>
      <c r="G8" s="17">
        <v>0</v>
      </c>
      <c r="H8" s="17">
        <v>10</v>
      </c>
      <c r="I8" s="17">
        <v>0</v>
      </c>
      <c r="J8" s="17">
        <v>0</v>
      </c>
      <c r="K8" s="17">
        <v>0</v>
      </c>
      <c r="L8" s="17">
        <v>10</v>
      </c>
      <c r="M8" s="17">
        <v>0</v>
      </c>
      <c r="N8" s="17">
        <v>10</v>
      </c>
      <c r="O8" s="17">
        <v>0</v>
      </c>
      <c r="P8" s="17">
        <v>0</v>
      </c>
      <c r="Q8" s="17">
        <v>10</v>
      </c>
      <c r="R8" s="17">
        <v>10</v>
      </c>
      <c r="S8" s="17">
        <v>0</v>
      </c>
      <c r="T8" s="17">
        <v>0</v>
      </c>
      <c r="U8" s="17">
        <v>0</v>
      </c>
      <c r="V8" s="17">
        <v>10</v>
      </c>
      <c r="W8" s="17">
        <v>10</v>
      </c>
      <c r="X8" s="17">
        <v>0</v>
      </c>
      <c r="Y8" s="35">
        <f t="shared" si="0"/>
        <v>3.68421052631579</v>
      </c>
      <c r="Z8">
        <v>6.8</v>
      </c>
    </row>
    <row r="9" spans="2:26">
      <c r="B9" s="14">
        <v>4</v>
      </c>
      <c r="C9" s="14">
        <v>876</v>
      </c>
      <c r="D9" s="29" t="s">
        <v>19</v>
      </c>
      <c r="E9" s="16">
        <v>10</v>
      </c>
      <c r="F9" s="16">
        <v>10</v>
      </c>
      <c r="G9" s="16">
        <v>0</v>
      </c>
      <c r="H9" s="16">
        <v>10</v>
      </c>
      <c r="I9" s="16">
        <v>10</v>
      </c>
      <c r="J9" s="16">
        <v>10</v>
      </c>
      <c r="K9" s="16">
        <v>10</v>
      </c>
      <c r="L9" s="16">
        <v>10</v>
      </c>
      <c r="M9" s="16">
        <v>10</v>
      </c>
      <c r="N9" s="16">
        <v>10</v>
      </c>
      <c r="O9" s="16">
        <v>10</v>
      </c>
      <c r="P9" s="16">
        <v>0</v>
      </c>
      <c r="Q9" s="16">
        <v>10</v>
      </c>
      <c r="R9" s="16">
        <v>10</v>
      </c>
      <c r="S9" s="16">
        <v>10</v>
      </c>
      <c r="T9" s="16">
        <v>10</v>
      </c>
      <c r="U9" s="16">
        <v>10</v>
      </c>
      <c r="V9" s="16">
        <v>10</v>
      </c>
      <c r="W9" s="16">
        <v>10</v>
      </c>
      <c r="X9" s="16">
        <v>10</v>
      </c>
      <c r="Y9" s="35">
        <f t="shared" si="0"/>
        <v>8.94736842105263</v>
      </c>
      <c r="Z9">
        <v>9.4</v>
      </c>
    </row>
    <row r="10" spans="2:26">
      <c r="B10" s="8">
        <v>5</v>
      </c>
      <c r="C10" s="8">
        <v>639</v>
      </c>
      <c r="D10" s="10" t="s">
        <v>20</v>
      </c>
      <c r="E10" s="18">
        <v>10</v>
      </c>
      <c r="F10" s="18">
        <v>10</v>
      </c>
      <c r="G10" s="18">
        <v>0</v>
      </c>
      <c r="H10" s="18">
        <v>10</v>
      </c>
      <c r="I10" s="18">
        <v>0</v>
      </c>
      <c r="J10" s="18">
        <v>10</v>
      </c>
      <c r="K10" s="18">
        <v>10</v>
      </c>
      <c r="L10" s="18">
        <v>10</v>
      </c>
      <c r="M10" s="18">
        <v>0</v>
      </c>
      <c r="N10" s="18">
        <v>10</v>
      </c>
      <c r="O10" s="18">
        <v>0</v>
      </c>
      <c r="P10" s="18">
        <v>0</v>
      </c>
      <c r="Q10" s="18">
        <v>0</v>
      </c>
      <c r="R10" s="18">
        <v>10</v>
      </c>
      <c r="S10" s="18">
        <v>0</v>
      </c>
      <c r="T10" s="18">
        <v>10</v>
      </c>
      <c r="U10" s="18">
        <v>10</v>
      </c>
      <c r="V10" s="17">
        <v>10</v>
      </c>
      <c r="W10" s="18">
        <v>10</v>
      </c>
      <c r="X10" s="18">
        <v>10</v>
      </c>
      <c r="Y10" s="35">
        <f t="shared" si="0"/>
        <v>6.31578947368421</v>
      </c>
      <c r="Z10">
        <v>8.1</v>
      </c>
    </row>
    <row r="11" spans="2:26">
      <c r="B11" s="8">
        <v>6</v>
      </c>
      <c r="C11" s="8">
        <v>1224</v>
      </c>
      <c r="D11" s="10" t="s">
        <v>21</v>
      </c>
      <c r="E11" s="18">
        <v>0</v>
      </c>
      <c r="F11" s="18">
        <v>10</v>
      </c>
      <c r="G11" s="18">
        <v>0</v>
      </c>
      <c r="H11" s="18">
        <v>10</v>
      </c>
      <c r="I11" s="18">
        <v>10</v>
      </c>
      <c r="J11" s="18">
        <v>10</v>
      </c>
      <c r="K11" s="18">
        <v>10</v>
      </c>
      <c r="L11" s="18">
        <v>10</v>
      </c>
      <c r="M11" s="18">
        <v>10</v>
      </c>
      <c r="N11" s="18">
        <v>0</v>
      </c>
      <c r="O11" s="18">
        <v>10</v>
      </c>
      <c r="P11" s="18">
        <v>10</v>
      </c>
      <c r="Q11" s="18">
        <v>0</v>
      </c>
      <c r="R11" s="18">
        <v>10</v>
      </c>
      <c r="S11" s="18">
        <v>10</v>
      </c>
      <c r="T11" s="18">
        <v>10</v>
      </c>
      <c r="U11" s="18">
        <v>10</v>
      </c>
      <c r="V11" s="18">
        <v>10</v>
      </c>
      <c r="W11" s="17">
        <v>10</v>
      </c>
      <c r="X11" s="17">
        <v>10</v>
      </c>
      <c r="Y11" s="35">
        <f t="shared" si="0"/>
        <v>8.42105263157895</v>
      </c>
      <c r="Z11">
        <v>9.2</v>
      </c>
    </row>
    <row r="12" spans="2:26">
      <c r="B12" s="8">
        <v>7</v>
      </c>
      <c r="C12" s="8">
        <v>1069</v>
      </c>
      <c r="D12" s="10" t="s">
        <v>22</v>
      </c>
      <c r="E12" s="18">
        <v>10</v>
      </c>
      <c r="F12" s="18">
        <v>10</v>
      </c>
      <c r="G12" s="18">
        <v>0</v>
      </c>
      <c r="H12" s="18">
        <v>10</v>
      </c>
      <c r="I12" s="18">
        <v>0</v>
      </c>
      <c r="J12" s="18">
        <v>10</v>
      </c>
      <c r="K12" s="18">
        <v>10</v>
      </c>
      <c r="L12" s="18">
        <v>10</v>
      </c>
      <c r="M12" s="18">
        <v>0</v>
      </c>
      <c r="N12" s="18">
        <v>10</v>
      </c>
      <c r="O12" s="18">
        <v>0</v>
      </c>
      <c r="P12" s="18">
        <v>0</v>
      </c>
      <c r="Q12" s="18">
        <v>0</v>
      </c>
      <c r="R12" s="18">
        <v>10</v>
      </c>
      <c r="S12" s="18">
        <v>0</v>
      </c>
      <c r="T12" s="18">
        <v>0</v>
      </c>
      <c r="U12" s="18">
        <v>10</v>
      </c>
      <c r="V12" s="18">
        <v>10</v>
      </c>
      <c r="W12" s="18">
        <v>10</v>
      </c>
      <c r="X12" s="18">
        <v>0</v>
      </c>
      <c r="Y12" s="35">
        <f t="shared" si="0"/>
        <v>5.26315789473684</v>
      </c>
      <c r="Z12">
        <v>7.6</v>
      </c>
    </row>
  </sheetData>
  <mergeCells count="4">
    <mergeCell ref="B2:D2"/>
    <mergeCell ref="F2:Y2"/>
    <mergeCell ref="D3:D4"/>
    <mergeCell ref="B3:C4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D12"/>
  <sheetViews>
    <sheetView zoomScale="85" zoomScaleNormal="85" topLeftCell="C1" workbookViewId="0">
      <selection activeCell="Q17" sqref="Q17"/>
    </sheetView>
  </sheetViews>
  <sheetFormatPr defaultColWidth="9" defaultRowHeight="13.8"/>
  <cols>
    <col min="3" max="3" width="12.5583333333333" customWidth="1"/>
    <col min="4" max="4" width="34.8833333333333" customWidth="1"/>
    <col min="5" max="6" width="6.55833333333333" customWidth="1"/>
    <col min="7" max="7" width="4.33333333333333" customWidth="1"/>
    <col min="8" max="8" width="4.66666666666667" customWidth="1"/>
    <col min="9" max="14" width="6.55833333333333" customWidth="1"/>
    <col min="15" max="15" width="4.66666666666667" customWidth="1"/>
    <col min="16" max="16" width="6.55833333333333" customWidth="1"/>
    <col min="17" max="17" width="6.10833333333333" customWidth="1"/>
    <col min="18" max="18" width="6.55833333333333" customWidth="1"/>
    <col min="19" max="19" width="6.10833333333333" customWidth="1"/>
    <col min="20" max="20" width="4.33333333333333" customWidth="1"/>
    <col min="21" max="22" width="6.55833333333333" customWidth="1"/>
    <col min="23" max="23" width="4.33333333333333" customWidth="1"/>
    <col min="24" max="25" width="6.55833333333333" customWidth="1"/>
    <col min="26" max="26" width="6.10833333333333" customWidth="1"/>
    <col min="27" max="29" width="6.55833333333333" customWidth="1"/>
    <col min="30" max="30" width="9.66666666666667" customWidth="1"/>
  </cols>
  <sheetData>
    <row r="2" spans="2:30">
      <c r="B2" s="1" t="s">
        <v>0</v>
      </c>
      <c r="C2" s="1"/>
      <c r="D2" s="1"/>
      <c r="E2" s="1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11.65" spans="2:30">
      <c r="B3" s="2"/>
      <c r="C3" s="2"/>
      <c r="D3" s="11" t="s">
        <v>24</v>
      </c>
      <c r="E3" s="12" t="s">
        <v>44</v>
      </c>
      <c r="F3" s="12" t="s">
        <v>45</v>
      </c>
      <c r="G3" s="26" t="s">
        <v>46</v>
      </c>
      <c r="H3" s="12" t="s">
        <v>47</v>
      </c>
      <c r="I3" s="12" t="s">
        <v>48</v>
      </c>
      <c r="J3" s="12" t="s">
        <v>49</v>
      </c>
      <c r="K3" s="12" t="s">
        <v>50</v>
      </c>
      <c r="L3" s="12" t="s">
        <v>51</v>
      </c>
      <c r="M3" s="12" t="s">
        <v>52</v>
      </c>
      <c r="N3" s="12" t="s">
        <v>53</v>
      </c>
      <c r="O3" s="20" t="s">
        <v>54</v>
      </c>
      <c r="P3" s="20" t="s">
        <v>55</v>
      </c>
      <c r="Q3" s="12" t="s">
        <v>56</v>
      </c>
      <c r="R3" s="12" t="s">
        <v>57</v>
      </c>
      <c r="S3" s="12" t="s">
        <v>58</v>
      </c>
      <c r="T3" s="26" t="s">
        <v>59</v>
      </c>
      <c r="U3" s="12" t="s">
        <v>60</v>
      </c>
      <c r="V3" s="12" t="s">
        <v>61</v>
      </c>
      <c r="W3" s="31" t="s">
        <v>62</v>
      </c>
      <c r="X3" s="12" t="s">
        <v>63</v>
      </c>
      <c r="Y3" s="12" t="s">
        <v>64</v>
      </c>
      <c r="Z3" s="12" t="s">
        <v>65</v>
      </c>
      <c r="AA3" s="12" t="s">
        <v>66</v>
      </c>
      <c r="AB3" s="12" t="s">
        <v>67</v>
      </c>
      <c r="AC3" s="12" t="s">
        <v>68</v>
      </c>
      <c r="AD3" s="22" t="s">
        <v>10</v>
      </c>
    </row>
    <row r="4" spans="2:30">
      <c r="B4" s="10"/>
      <c r="C4" s="10"/>
      <c r="D4" s="5" t="s">
        <v>69</v>
      </c>
      <c r="E4" s="13" t="s">
        <v>70</v>
      </c>
      <c r="F4" s="7" t="s">
        <v>71</v>
      </c>
      <c r="G4" s="27"/>
      <c r="H4" s="7">
        <v>18</v>
      </c>
      <c r="I4" s="7" t="s">
        <v>72</v>
      </c>
      <c r="J4" s="7" t="s">
        <v>73</v>
      </c>
      <c r="K4" s="7" t="s">
        <v>74</v>
      </c>
      <c r="L4" s="7" t="s">
        <v>75</v>
      </c>
      <c r="M4" s="7" t="s">
        <v>76</v>
      </c>
      <c r="N4" s="7">
        <v>35</v>
      </c>
      <c r="O4" s="7">
        <v>36</v>
      </c>
      <c r="P4" s="30" t="s">
        <v>77</v>
      </c>
      <c r="Q4" s="7" t="s">
        <v>78</v>
      </c>
      <c r="R4" s="7" t="s">
        <v>79</v>
      </c>
      <c r="S4" s="7" t="s">
        <v>80</v>
      </c>
      <c r="T4" s="27"/>
      <c r="U4" s="7" t="s">
        <v>81</v>
      </c>
      <c r="V4" s="7" t="s">
        <v>82</v>
      </c>
      <c r="W4" s="32"/>
      <c r="X4" s="7" t="s">
        <v>83</v>
      </c>
      <c r="Y4" s="7" t="s">
        <v>84</v>
      </c>
      <c r="Z4" s="7" t="s">
        <v>85</v>
      </c>
      <c r="AA4" s="7" t="s">
        <v>86</v>
      </c>
      <c r="AB4" s="7" t="s">
        <v>87</v>
      </c>
      <c r="AC4" s="7" t="s">
        <v>88</v>
      </c>
      <c r="AD4" s="11"/>
    </row>
    <row r="5" spans="2:30">
      <c r="B5" s="5" t="s">
        <v>13</v>
      </c>
      <c r="C5" s="5" t="s">
        <v>14</v>
      </c>
      <c r="D5" s="6" t="s">
        <v>15</v>
      </c>
      <c r="E5" s="7"/>
      <c r="F5" s="7"/>
      <c r="G5" s="27"/>
      <c r="H5" s="7"/>
      <c r="I5" s="7"/>
      <c r="J5" s="7"/>
      <c r="K5" s="7"/>
      <c r="L5" s="7"/>
      <c r="M5" s="7"/>
      <c r="N5" s="7"/>
      <c r="O5" s="7"/>
      <c r="P5" s="21"/>
      <c r="Q5" s="7"/>
      <c r="R5" s="7"/>
      <c r="S5" s="7"/>
      <c r="T5" s="27"/>
      <c r="U5" s="7"/>
      <c r="V5" s="7"/>
      <c r="W5" s="32"/>
      <c r="X5" s="7"/>
      <c r="Y5" s="7"/>
      <c r="Z5" s="7"/>
      <c r="AA5" s="7"/>
      <c r="AB5" s="7"/>
      <c r="AC5" s="7"/>
      <c r="AD5" s="23"/>
    </row>
    <row r="6" spans="2:30">
      <c r="B6" s="8">
        <v>1</v>
      </c>
      <c r="C6" s="8">
        <v>1045</v>
      </c>
      <c r="D6" t="s">
        <v>16</v>
      </c>
      <c r="E6" s="17">
        <v>7</v>
      </c>
      <c r="F6" s="17">
        <v>10</v>
      </c>
      <c r="G6" s="28"/>
      <c r="H6" s="17">
        <v>10</v>
      </c>
      <c r="I6" s="17">
        <v>10</v>
      </c>
      <c r="J6" s="17">
        <v>10</v>
      </c>
      <c r="K6" s="17">
        <v>10</v>
      </c>
      <c r="L6" s="17">
        <v>10</v>
      </c>
      <c r="M6" s="17">
        <v>10</v>
      </c>
      <c r="N6" s="17">
        <v>10</v>
      </c>
      <c r="O6" s="17">
        <v>10</v>
      </c>
      <c r="P6" s="17">
        <v>10</v>
      </c>
      <c r="Q6" s="17">
        <v>9</v>
      </c>
      <c r="R6" s="17">
        <v>8.5</v>
      </c>
      <c r="S6" s="17">
        <v>9</v>
      </c>
      <c r="T6" s="28"/>
      <c r="U6" s="17">
        <v>9</v>
      </c>
      <c r="V6" s="17">
        <v>9</v>
      </c>
      <c r="W6" s="33"/>
      <c r="X6" s="17">
        <v>10</v>
      </c>
      <c r="Y6" s="17">
        <v>10</v>
      </c>
      <c r="Z6" s="17">
        <v>10</v>
      </c>
      <c r="AA6" s="17">
        <v>9</v>
      </c>
      <c r="AB6" s="17">
        <v>10</v>
      </c>
      <c r="AC6" s="17">
        <v>10</v>
      </c>
      <c r="AD6" s="25">
        <f t="shared" ref="AD6:AD12" si="0">AVERAGE(E6:AC6)</f>
        <v>9.56818181818182</v>
      </c>
    </row>
    <row r="7" spans="2:30">
      <c r="B7" s="8">
        <v>2</v>
      </c>
      <c r="C7" s="8">
        <v>1060</v>
      </c>
      <c r="D7" s="10" t="s">
        <v>17</v>
      </c>
      <c r="E7" s="17">
        <v>10</v>
      </c>
      <c r="F7" s="17">
        <v>10</v>
      </c>
      <c r="G7" s="28"/>
      <c r="H7" s="17">
        <v>10</v>
      </c>
      <c r="I7" s="17">
        <v>10</v>
      </c>
      <c r="J7" s="17">
        <v>10</v>
      </c>
      <c r="K7" s="17">
        <v>10</v>
      </c>
      <c r="L7" s="17">
        <v>10</v>
      </c>
      <c r="M7" s="17">
        <v>10</v>
      </c>
      <c r="N7" s="17">
        <v>10</v>
      </c>
      <c r="O7" s="17">
        <v>10</v>
      </c>
      <c r="P7" s="17">
        <v>10</v>
      </c>
      <c r="Q7" s="17">
        <v>10</v>
      </c>
      <c r="R7" s="17">
        <v>10</v>
      </c>
      <c r="S7" s="17">
        <v>10</v>
      </c>
      <c r="T7" s="28"/>
      <c r="U7" s="18">
        <v>0</v>
      </c>
      <c r="V7" s="17">
        <v>8</v>
      </c>
      <c r="W7" s="33"/>
      <c r="X7" s="17">
        <v>10</v>
      </c>
      <c r="Y7" s="17">
        <v>10</v>
      </c>
      <c r="Z7" s="17">
        <v>10</v>
      </c>
      <c r="AA7" s="17">
        <v>10</v>
      </c>
      <c r="AB7" s="17">
        <v>10</v>
      </c>
      <c r="AC7" s="17">
        <v>10</v>
      </c>
      <c r="AD7" s="25">
        <f t="shared" si="0"/>
        <v>9.45454545454546</v>
      </c>
    </row>
    <row r="8" spans="2:30">
      <c r="B8" s="8">
        <v>3</v>
      </c>
      <c r="C8" s="8">
        <v>1108</v>
      </c>
      <c r="D8" s="10" t="s">
        <v>18</v>
      </c>
      <c r="E8" s="17">
        <v>10</v>
      </c>
      <c r="F8" s="17">
        <v>10</v>
      </c>
      <c r="G8" s="28"/>
      <c r="H8" s="17">
        <v>10</v>
      </c>
      <c r="I8" s="17">
        <v>10</v>
      </c>
      <c r="J8" s="17">
        <v>7.5</v>
      </c>
      <c r="K8" s="17">
        <v>10</v>
      </c>
      <c r="L8" s="17">
        <v>9.5</v>
      </c>
      <c r="M8" s="17">
        <v>2.5</v>
      </c>
      <c r="N8" s="18">
        <v>0</v>
      </c>
      <c r="O8" s="17">
        <v>9</v>
      </c>
      <c r="P8" s="17">
        <v>8</v>
      </c>
      <c r="Q8" s="17">
        <v>2.5</v>
      </c>
      <c r="R8" s="17">
        <v>5</v>
      </c>
      <c r="S8" s="17">
        <v>8</v>
      </c>
      <c r="T8" s="28"/>
      <c r="U8" s="17">
        <v>10</v>
      </c>
      <c r="V8" s="17">
        <v>9</v>
      </c>
      <c r="W8" s="33"/>
      <c r="X8" s="17">
        <v>10</v>
      </c>
      <c r="Y8" s="17">
        <v>10</v>
      </c>
      <c r="Z8" s="17">
        <v>10</v>
      </c>
      <c r="AA8" s="17">
        <v>9.5</v>
      </c>
      <c r="AB8" s="17">
        <v>9</v>
      </c>
      <c r="AC8" s="17">
        <v>7</v>
      </c>
      <c r="AD8" s="25">
        <f t="shared" si="0"/>
        <v>8.02272727272727</v>
      </c>
    </row>
    <row r="9" spans="2:30">
      <c r="B9" s="14">
        <v>4</v>
      </c>
      <c r="C9" s="14">
        <v>876</v>
      </c>
      <c r="D9" s="29" t="s">
        <v>19</v>
      </c>
      <c r="E9" s="16">
        <v>10</v>
      </c>
      <c r="F9" s="16">
        <v>10</v>
      </c>
      <c r="G9" s="28"/>
      <c r="H9" s="16">
        <v>10</v>
      </c>
      <c r="I9" s="16">
        <v>10</v>
      </c>
      <c r="J9" s="16">
        <v>10</v>
      </c>
      <c r="K9" s="16">
        <v>10</v>
      </c>
      <c r="L9" s="16">
        <v>10</v>
      </c>
      <c r="M9" s="16">
        <v>10</v>
      </c>
      <c r="N9" s="16">
        <v>10</v>
      </c>
      <c r="O9" s="16">
        <v>10</v>
      </c>
      <c r="P9" s="16">
        <v>10</v>
      </c>
      <c r="Q9" s="16">
        <v>10</v>
      </c>
      <c r="R9" s="16">
        <v>10</v>
      </c>
      <c r="S9" s="16">
        <v>10</v>
      </c>
      <c r="T9" s="28"/>
      <c r="U9" s="16">
        <v>10</v>
      </c>
      <c r="V9" s="16">
        <v>10</v>
      </c>
      <c r="W9" s="33"/>
      <c r="X9" s="16">
        <v>10</v>
      </c>
      <c r="Y9" s="16">
        <v>10</v>
      </c>
      <c r="Z9" s="16">
        <v>10</v>
      </c>
      <c r="AA9" s="16">
        <v>10</v>
      </c>
      <c r="AB9" s="16">
        <v>10</v>
      </c>
      <c r="AC9" s="16">
        <v>10</v>
      </c>
      <c r="AD9" s="24">
        <f t="shared" si="0"/>
        <v>10</v>
      </c>
    </row>
    <row r="10" spans="2:30">
      <c r="B10" s="8">
        <v>5</v>
      </c>
      <c r="C10" s="8">
        <v>639</v>
      </c>
      <c r="D10" s="10" t="s">
        <v>20</v>
      </c>
      <c r="E10" s="17">
        <v>10</v>
      </c>
      <c r="F10" s="17">
        <v>10</v>
      </c>
      <c r="G10" s="28"/>
      <c r="H10" s="18">
        <v>0</v>
      </c>
      <c r="I10" s="17">
        <v>10</v>
      </c>
      <c r="J10" s="17">
        <v>10</v>
      </c>
      <c r="K10" s="17">
        <v>10</v>
      </c>
      <c r="L10" s="17">
        <v>10</v>
      </c>
      <c r="M10" s="17">
        <v>10</v>
      </c>
      <c r="N10" s="17">
        <v>10</v>
      </c>
      <c r="O10" s="17">
        <v>10</v>
      </c>
      <c r="P10" s="17">
        <v>10</v>
      </c>
      <c r="Q10" s="17">
        <v>10</v>
      </c>
      <c r="R10" s="17">
        <v>10</v>
      </c>
      <c r="S10" s="17">
        <v>10</v>
      </c>
      <c r="T10" s="28"/>
      <c r="U10" s="17">
        <v>10</v>
      </c>
      <c r="V10" s="17">
        <v>8</v>
      </c>
      <c r="W10" s="33"/>
      <c r="X10" s="17">
        <v>10</v>
      </c>
      <c r="Y10" s="17">
        <v>9.5</v>
      </c>
      <c r="Z10" s="17">
        <v>10</v>
      </c>
      <c r="AA10" s="17">
        <v>10</v>
      </c>
      <c r="AB10" s="17">
        <v>10</v>
      </c>
      <c r="AC10" s="17">
        <v>10</v>
      </c>
      <c r="AD10" s="25">
        <f t="shared" si="0"/>
        <v>9.43181818181818</v>
      </c>
    </row>
    <row r="11" spans="2:30">
      <c r="B11" s="8">
        <v>6</v>
      </c>
      <c r="C11" s="8">
        <v>1224</v>
      </c>
      <c r="D11" s="10" t="s">
        <v>21</v>
      </c>
      <c r="E11" s="18">
        <v>0</v>
      </c>
      <c r="F11" s="18">
        <v>0</v>
      </c>
      <c r="G11" s="28"/>
      <c r="H11" s="18">
        <v>0</v>
      </c>
      <c r="I11" s="18">
        <v>0</v>
      </c>
      <c r="J11" s="17">
        <v>10</v>
      </c>
      <c r="K11" s="17">
        <v>10</v>
      </c>
      <c r="L11" s="17">
        <v>7.5</v>
      </c>
      <c r="M11" s="18">
        <v>0</v>
      </c>
      <c r="N11" s="18">
        <v>0</v>
      </c>
      <c r="O11" s="17">
        <v>10</v>
      </c>
      <c r="P11" s="17">
        <v>10</v>
      </c>
      <c r="Q11" s="17">
        <v>10</v>
      </c>
      <c r="R11" s="18">
        <v>0</v>
      </c>
      <c r="S11" s="17">
        <v>7.5</v>
      </c>
      <c r="T11" s="28"/>
      <c r="U11" s="17">
        <v>10</v>
      </c>
      <c r="V11" s="17">
        <v>10</v>
      </c>
      <c r="W11" s="33"/>
      <c r="X11" s="17">
        <v>10</v>
      </c>
      <c r="Y11" s="17">
        <v>10</v>
      </c>
      <c r="Z11" s="17">
        <v>10</v>
      </c>
      <c r="AA11" s="18">
        <v>0</v>
      </c>
      <c r="AB11" s="17">
        <v>10</v>
      </c>
      <c r="AC11" s="17">
        <v>9</v>
      </c>
      <c r="AD11" s="25">
        <f t="shared" si="0"/>
        <v>6.09090909090909</v>
      </c>
    </row>
    <row r="12" spans="2:30">
      <c r="B12" s="8">
        <v>7</v>
      </c>
      <c r="C12" s="8">
        <v>1069</v>
      </c>
      <c r="D12" s="10" t="s">
        <v>22</v>
      </c>
      <c r="E12" s="17">
        <v>10</v>
      </c>
      <c r="F12" s="17">
        <v>10</v>
      </c>
      <c r="G12" s="28"/>
      <c r="H12" s="17">
        <v>10</v>
      </c>
      <c r="I12" s="17">
        <v>10</v>
      </c>
      <c r="J12" s="17">
        <v>10</v>
      </c>
      <c r="K12" s="17">
        <v>10</v>
      </c>
      <c r="L12" s="17">
        <v>10</v>
      </c>
      <c r="M12" s="17">
        <v>10</v>
      </c>
      <c r="N12" s="17">
        <v>9</v>
      </c>
      <c r="O12" s="17">
        <v>10</v>
      </c>
      <c r="P12" s="17">
        <v>10</v>
      </c>
      <c r="Q12" s="17">
        <v>9</v>
      </c>
      <c r="R12" s="17">
        <v>10</v>
      </c>
      <c r="S12" s="17">
        <v>10</v>
      </c>
      <c r="T12" s="28"/>
      <c r="U12" s="17">
        <v>10</v>
      </c>
      <c r="V12" s="17">
        <v>10</v>
      </c>
      <c r="W12" s="33"/>
      <c r="X12" s="17">
        <v>10</v>
      </c>
      <c r="Y12" s="17">
        <v>10</v>
      </c>
      <c r="Z12" s="17">
        <v>10</v>
      </c>
      <c r="AA12" s="17">
        <v>10</v>
      </c>
      <c r="AB12" s="17">
        <v>10</v>
      </c>
      <c r="AC12" s="17">
        <v>10</v>
      </c>
      <c r="AD12" s="25">
        <f t="shared" si="0"/>
        <v>9.90909090909091</v>
      </c>
    </row>
  </sheetData>
  <mergeCells count="2">
    <mergeCell ref="B2:D2"/>
    <mergeCell ref="E2:AD2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2"/>
  <sheetViews>
    <sheetView zoomScale="85" zoomScaleNormal="85" workbookViewId="0">
      <selection activeCell="AD9" sqref="AD9"/>
    </sheetView>
  </sheetViews>
  <sheetFormatPr defaultColWidth="9" defaultRowHeight="13.8"/>
  <cols>
    <col min="3" max="3" width="12.5583333333333" customWidth="1"/>
    <col min="4" max="4" width="34.8833333333333" customWidth="1"/>
    <col min="5" max="11" width="4.66666666666667" customWidth="1"/>
    <col min="12" max="12" width="6.66666666666667" customWidth="1"/>
    <col min="13" max="21" width="4.66666666666667" customWidth="1"/>
    <col min="22" max="22" width="6.66666666666667" customWidth="1"/>
    <col min="23" max="24" width="4.66666666666667" customWidth="1"/>
    <col min="25" max="25" width="6.66666666666667" customWidth="1"/>
    <col min="26" max="27" width="6.55833333333333" customWidth="1"/>
    <col min="28" max="28" width="4.66666666666667" customWidth="1"/>
    <col min="29" max="30" width="6.66666666666667" customWidth="1"/>
    <col min="31" max="31" width="9.66666666666667" customWidth="1"/>
  </cols>
  <sheetData>
    <row r="2" spans="2:31">
      <c r="B2" s="1" t="s">
        <v>0</v>
      </c>
      <c r="C2" s="1"/>
      <c r="D2" s="1"/>
      <c r="E2" s="1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133.5" customHeight="1" spans="2:31">
      <c r="B3" s="2"/>
      <c r="C3" s="2"/>
      <c r="D3" s="11" t="s">
        <v>24</v>
      </c>
      <c r="E3" s="12" t="s">
        <v>89</v>
      </c>
      <c r="F3" s="12" t="s">
        <v>90</v>
      </c>
      <c r="G3" s="12" t="s">
        <v>91</v>
      </c>
      <c r="H3" s="12" t="s">
        <v>92</v>
      </c>
      <c r="I3" s="12" t="s">
        <v>93</v>
      </c>
      <c r="J3" s="12" t="s">
        <v>94</v>
      </c>
      <c r="K3" s="12" t="s">
        <v>95</v>
      </c>
      <c r="L3" s="19" t="s">
        <v>96</v>
      </c>
      <c r="M3" s="12" t="s">
        <v>97</v>
      </c>
      <c r="N3" s="20" t="s">
        <v>98</v>
      </c>
      <c r="O3" s="20" t="s">
        <v>99</v>
      </c>
      <c r="P3" s="12" t="s">
        <v>100</v>
      </c>
      <c r="Q3" s="12" t="s">
        <v>101</v>
      </c>
      <c r="R3" s="12" t="s">
        <v>102</v>
      </c>
      <c r="S3" s="12" t="s">
        <v>103</v>
      </c>
      <c r="T3" s="12" t="s">
        <v>104</v>
      </c>
      <c r="U3" s="12" t="s">
        <v>105</v>
      </c>
      <c r="V3" s="19" t="s">
        <v>106</v>
      </c>
      <c r="W3" s="12" t="s">
        <v>107</v>
      </c>
      <c r="X3" s="12" t="s">
        <v>108</v>
      </c>
      <c r="Y3" s="19" t="s">
        <v>109</v>
      </c>
      <c r="Z3" s="19" t="s">
        <v>110</v>
      </c>
      <c r="AA3" s="19" t="s">
        <v>111</v>
      </c>
      <c r="AB3" s="19" t="s">
        <v>112</v>
      </c>
      <c r="AC3" s="19" t="s">
        <v>113</v>
      </c>
      <c r="AD3" s="19" t="s">
        <v>114</v>
      </c>
      <c r="AE3" s="22" t="s">
        <v>10</v>
      </c>
    </row>
    <row r="4" spans="2:31">
      <c r="B4" s="10"/>
      <c r="C4" s="10"/>
      <c r="D4" s="5" t="s">
        <v>69</v>
      </c>
      <c r="E4" s="13" t="s">
        <v>115</v>
      </c>
      <c r="F4" s="7">
        <v>2</v>
      </c>
      <c r="G4" s="7">
        <v>3</v>
      </c>
      <c r="H4" s="7">
        <v>4</v>
      </c>
      <c r="I4" s="7">
        <v>5</v>
      </c>
      <c r="J4" s="7">
        <v>7</v>
      </c>
      <c r="K4" s="7">
        <v>8</v>
      </c>
      <c r="L4" s="7">
        <v>9</v>
      </c>
      <c r="M4" s="7">
        <v>10</v>
      </c>
      <c r="N4" s="7">
        <v>11</v>
      </c>
      <c r="O4" s="7">
        <v>12</v>
      </c>
      <c r="P4" s="7">
        <v>13</v>
      </c>
      <c r="Q4" s="7">
        <v>14</v>
      </c>
      <c r="R4" s="7">
        <v>15</v>
      </c>
      <c r="S4" s="7">
        <v>16</v>
      </c>
      <c r="T4" s="7">
        <v>17</v>
      </c>
      <c r="U4" s="7">
        <v>18</v>
      </c>
      <c r="V4" s="7">
        <v>19</v>
      </c>
      <c r="W4" s="7">
        <v>20</v>
      </c>
      <c r="X4" s="7">
        <v>21</v>
      </c>
      <c r="Y4" s="7">
        <v>22</v>
      </c>
      <c r="Z4" s="7">
        <v>23</v>
      </c>
      <c r="AA4" s="7">
        <v>24</v>
      </c>
      <c r="AB4" s="7">
        <v>25</v>
      </c>
      <c r="AC4" s="7">
        <v>26</v>
      </c>
      <c r="AD4" s="7">
        <v>27</v>
      </c>
      <c r="AE4" s="11"/>
    </row>
    <row r="5" spans="2:31">
      <c r="B5" s="5" t="s">
        <v>13</v>
      </c>
      <c r="C5" s="5" t="s">
        <v>14</v>
      </c>
      <c r="D5" s="6" t="s">
        <v>15</v>
      </c>
      <c r="E5" s="7"/>
      <c r="F5" s="7"/>
      <c r="G5" s="7"/>
      <c r="H5" s="7"/>
      <c r="I5" s="7"/>
      <c r="J5" s="7"/>
      <c r="K5" s="7"/>
      <c r="L5" s="7"/>
      <c r="M5" s="7"/>
      <c r="N5" s="7"/>
      <c r="O5" s="21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23"/>
    </row>
    <row r="6" spans="2:31">
      <c r="B6" s="14">
        <v>1</v>
      </c>
      <c r="C6" s="14">
        <v>1045</v>
      </c>
      <c r="D6" s="15" t="s">
        <v>16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24">
        <f t="shared" ref="AE6:AE12" si="0">AVERAGE(E6:AD6)</f>
        <v>0</v>
      </c>
    </row>
    <row r="7" spans="2:31">
      <c r="B7" s="8">
        <v>2</v>
      </c>
      <c r="C7" s="8">
        <v>1060</v>
      </c>
      <c r="D7" s="10" t="s">
        <v>17</v>
      </c>
      <c r="E7" s="17">
        <v>10</v>
      </c>
      <c r="F7" s="17">
        <v>10</v>
      </c>
      <c r="G7" s="17">
        <v>10</v>
      </c>
      <c r="H7" s="17">
        <v>10</v>
      </c>
      <c r="I7" s="17">
        <v>10</v>
      </c>
      <c r="J7" s="17">
        <v>10</v>
      </c>
      <c r="K7" s="17">
        <v>10</v>
      </c>
      <c r="L7" s="17">
        <v>10</v>
      </c>
      <c r="M7" s="17">
        <v>10</v>
      </c>
      <c r="N7" s="17">
        <v>10</v>
      </c>
      <c r="O7" s="17">
        <v>10</v>
      </c>
      <c r="P7" s="17">
        <v>10</v>
      </c>
      <c r="Q7" s="17">
        <v>10</v>
      </c>
      <c r="R7" s="17">
        <v>10</v>
      </c>
      <c r="S7" s="17">
        <v>10</v>
      </c>
      <c r="T7" s="17">
        <v>10</v>
      </c>
      <c r="U7" s="17">
        <v>10</v>
      </c>
      <c r="V7" s="17">
        <v>10</v>
      </c>
      <c r="W7" s="17">
        <v>10</v>
      </c>
      <c r="X7" s="17">
        <v>10</v>
      </c>
      <c r="Y7" s="17">
        <v>10</v>
      </c>
      <c r="Z7" s="17">
        <v>10</v>
      </c>
      <c r="AA7" s="17">
        <v>10</v>
      </c>
      <c r="AB7" s="17">
        <v>10</v>
      </c>
      <c r="AC7" s="17">
        <v>10</v>
      </c>
      <c r="AD7" s="17">
        <v>10</v>
      </c>
      <c r="AE7" s="25">
        <f t="shared" si="0"/>
        <v>10</v>
      </c>
    </row>
    <row r="8" spans="2:31">
      <c r="B8" s="8">
        <v>3</v>
      </c>
      <c r="C8" s="8">
        <v>1108</v>
      </c>
      <c r="D8" s="10" t="s">
        <v>18</v>
      </c>
      <c r="E8" s="18">
        <v>0</v>
      </c>
      <c r="F8" s="17">
        <v>10</v>
      </c>
      <c r="G8" s="17">
        <v>10</v>
      </c>
      <c r="H8" s="17">
        <v>10</v>
      </c>
      <c r="I8" s="17">
        <v>10</v>
      </c>
      <c r="J8" s="17">
        <v>10</v>
      </c>
      <c r="K8" s="17">
        <v>10</v>
      </c>
      <c r="L8" s="17">
        <v>10</v>
      </c>
      <c r="M8" s="17">
        <v>10</v>
      </c>
      <c r="N8" s="18">
        <v>0</v>
      </c>
      <c r="O8" s="17">
        <v>10</v>
      </c>
      <c r="P8" s="17">
        <v>10</v>
      </c>
      <c r="Q8" s="17">
        <v>10</v>
      </c>
      <c r="R8" s="17">
        <v>10</v>
      </c>
      <c r="S8" s="17">
        <v>10</v>
      </c>
      <c r="T8" s="17">
        <v>10</v>
      </c>
      <c r="U8" s="17">
        <v>10</v>
      </c>
      <c r="V8" s="17">
        <v>10</v>
      </c>
      <c r="W8" s="17">
        <v>7</v>
      </c>
      <c r="X8" s="17">
        <v>10</v>
      </c>
      <c r="Y8" s="17">
        <v>10</v>
      </c>
      <c r="Z8" s="17">
        <v>10</v>
      </c>
      <c r="AA8" s="17">
        <v>10</v>
      </c>
      <c r="AB8" s="17">
        <v>10</v>
      </c>
      <c r="AC8" s="17">
        <v>10</v>
      </c>
      <c r="AD8" s="17">
        <v>10</v>
      </c>
      <c r="AE8" s="25">
        <f t="shared" si="0"/>
        <v>9.11538461538461</v>
      </c>
    </row>
    <row r="9" spans="2:31">
      <c r="B9" s="8">
        <v>4</v>
      </c>
      <c r="C9" s="8">
        <v>876</v>
      </c>
      <c r="D9" s="10" t="s">
        <v>19</v>
      </c>
      <c r="E9" s="17">
        <v>10</v>
      </c>
      <c r="F9" s="17">
        <v>10</v>
      </c>
      <c r="G9" s="18">
        <v>10</v>
      </c>
      <c r="H9" s="17">
        <v>10</v>
      </c>
      <c r="I9" s="17">
        <v>10</v>
      </c>
      <c r="J9" s="17">
        <v>10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8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8">
        <v>10</v>
      </c>
      <c r="W9" s="17">
        <v>9</v>
      </c>
      <c r="X9" s="17">
        <v>10</v>
      </c>
      <c r="Y9" s="17">
        <v>10</v>
      </c>
      <c r="Z9" s="18">
        <v>10</v>
      </c>
      <c r="AA9" s="17">
        <v>10</v>
      </c>
      <c r="AB9" s="17">
        <v>10</v>
      </c>
      <c r="AC9" s="18">
        <v>10</v>
      </c>
      <c r="AD9" s="18">
        <v>0</v>
      </c>
      <c r="AE9" s="25">
        <f t="shared" si="0"/>
        <v>9.57692307692308</v>
      </c>
    </row>
    <row r="10" spans="2:31">
      <c r="B10" s="8">
        <v>5</v>
      </c>
      <c r="C10" s="8">
        <v>639</v>
      </c>
      <c r="D10" s="10" t="s">
        <v>20</v>
      </c>
      <c r="E10" s="17">
        <v>10</v>
      </c>
      <c r="F10" s="17">
        <v>10</v>
      </c>
      <c r="G10" s="17">
        <v>10</v>
      </c>
      <c r="H10" s="18">
        <v>0</v>
      </c>
      <c r="I10" s="17">
        <v>10</v>
      </c>
      <c r="J10" s="17">
        <v>10</v>
      </c>
      <c r="K10" s="17">
        <v>10</v>
      </c>
      <c r="L10" s="17">
        <v>10</v>
      </c>
      <c r="M10" s="17">
        <v>10</v>
      </c>
      <c r="N10" s="17">
        <v>10</v>
      </c>
      <c r="O10" s="17">
        <v>10</v>
      </c>
      <c r="P10" s="18">
        <v>0</v>
      </c>
      <c r="Q10" s="17">
        <v>10</v>
      </c>
      <c r="R10" s="17">
        <v>10</v>
      </c>
      <c r="S10" s="17">
        <v>8</v>
      </c>
      <c r="T10" s="17">
        <v>10</v>
      </c>
      <c r="U10" s="17">
        <v>10</v>
      </c>
      <c r="V10" s="17">
        <v>10</v>
      </c>
      <c r="W10" s="17">
        <v>10</v>
      </c>
      <c r="X10" s="17">
        <v>10</v>
      </c>
      <c r="Y10" s="17">
        <v>10</v>
      </c>
      <c r="Z10" s="17">
        <v>10</v>
      </c>
      <c r="AA10" s="17">
        <v>10</v>
      </c>
      <c r="AB10" s="17">
        <v>10</v>
      </c>
      <c r="AC10" s="17">
        <v>10</v>
      </c>
      <c r="AD10" s="17">
        <v>10</v>
      </c>
      <c r="AE10" s="25">
        <f t="shared" si="0"/>
        <v>9.15384615384615</v>
      </c>
    </row>
    <row r="11" spans="2:31">
      <c r="B11" s="8">
        <v>6</v>
      </c>
      <c r="C11" s="8">
        <v>1224</v>
      </c>
      <c r="D11" s="10" t="s">
        <v>21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7">
        <v>10</v>
      </c>
      <c r="S11" s="18">
        <v>0</v>
      </c>
      <c r="T11" s="17">
        <v>10</v>
      </c>
      <c r="U11" s="18">
        <v>0</v>
      </c>
      <c r="V11" s="17">
        <v>10</v>
      </c>
      <c r="W11" s="17">
        <v>10</v>
      </c>
      <c r="X11" s="17">
        <v>10</v>
      </c>
      <c r="Y11" s="17">
        <v>10</v>
      </c>
      <c r="Z11" s="17">
        <v>10</v>
      </c>
      <c r="AA11" s="18">
        <v>0</v>
      </c>
      <c r="AB11" s="18">
        <v>0</v>
      </c>
      <c r="AC11" s="18">
        <v>0</v>
      </c>
      <c r="AD11" s="17">
        <v>10</v>
      </c>
      <c r="AE11" s="25">
        <f t="shared" si="0"/>
        <v>3.07692307692308</v>
      </c>
    </row>
    <row r="12" spans="2:31">
      <c r="B12" s="8">
        <v>7</v>
      </c>
      <c r="C12" s="8">
        <v>1069</v>
      </c>
      <c r="D12" s="10" t="s">
        <v>22</v>
      </c>
      <c r="E12" s="17">
        <v>10</v>
      </c>
      <c r="F12" s="17">
        <v>10</v>
      </c>
      <c r="G12" s="17">
        <v>10</v>
      </c>
      <c r="H12" s="17">
        <v>10</v>
      </c>
      <c r="I12" s="17">
        <v>10</v>
      </c>
      <c r="J12" s="17">
        <v>10</v>
      </c>
      <c r="K12" s="17">
        <v>10</v>
      </c>
      <c r="L12" s="17">
        <v>10</v>
      </c>
      <c r="M12" s="17">
        <v>10</v>
      </c>
      <c r="N12" s="17">
        <v>10</v>
      </c>
      <c r="O12" s="17">
        <v>10</v>
      </c>
      <c r="P12" s="17">
        <v>10</v>
      </c>
      <c r="Q12" s="17">
        <v>10</v>
      </c>
      <c r="R12" s="17">
        <v>10</v>
      </c>
      <c r="S12" s="17">
        <v>10</v>
      </c>
      <c r="T12" s="17">
        <v>10</v>
      </c>
      <c r="U12" s="17">
        <v>10</v>
      </c>
      <c r="V12" s="17">
        <v>10</v>
      </c>
      <c r="W12" s="18">
        <v>0</v>
      </c>
      <c r="X12" s="17">
        <v>10</v>
      </c>
      <c r="Y12" s="18">
        <v>0</v>
      </c>
      <c r="Z12" s="17">
        <v>10</v>
      </c>
      <c r="AA12" s="17">
        <v>10</v>
      </c>
      <c r="AB12" s="17">
        <v>10</v>
      </c>
      <c r="AC12" s="17">
        <v>10</v>
      </c>
      <c r="AD12" s="17">
        <v>10</v>
      </c>
      <c r="AE12" s="25">
        <f t="shared" si="0"/>
        <v>9.23076923076923</v>
      </c>
    </row>
  </sheetData>
  <mergeCells count="2">
    <mergeCell ref="B2:D2"/>
    <mergeCell ref="E2:AE2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1"/>
  <sheetViews>
    <sheetView zoomScale="85" zoomScaleNormal="85" workbookViewId="0">
      <selection activeCell="E16" sqref="E16"/>
    </sheetView>
  </sheetViews>
  <sheetFormatPr defaultColWidth="9" defaultRowHeight="13.8" outlineLevelCol="4"/>
  <cols>
    <col min="3" max="3" width="12.5583333333333" customWidth="1"/>
    <col min="4" max="4" width="34.8833333333333" customWidth="1"/>
    <col min="5" max="5" width="120" customWidth="1"/>
  </cols>
  <sheetData>
    <row r="2" spans="2:5">
      <c r="B2" s="1" t="s">
        <v>0</v>
      </c>
      <c r="C2" s="1"/>
      <c r="D2" s="1"/>
      <c r="E2" s="1" t="s">
        <v>1</v>
      </c>
    </row>
    <row r="3" spans="2:5">
      <c r="B3" s="2"/>
      <c r="C3" s="2"/>
      <c r="D3" s="3" t="s">
        <v>116</v>
      </c>
      <c r="E3" s="4" t="s">
        <v>117</v>
      </c>
    </row>
    <row r="4" spans="2:5">
      <c r="B4" s="5" t="s">
        <v>13</v>
      </c>
      <c r="C4" s="5" t="s">
        <v>14</v>
      </c>
      <c r="D4" s="6" t="s">
        <v>15</v>
      </c>
      <c r="E4" s="7"/>
    </row>
    <row r="5" spans="2:5">
      <c r="B5" s="8">
        <v>1</v>
      </c>
      <c r="C5" s="8">
        <v>1045</v>
      </c>
      <c r="D5" t="s">
        <v>16</v>
      </c>
      <c r="E5" s="9" t="s">
        <v>118</v>
      </c>
    </row>
    <row r="6" spans="2:5">
      <c r="B6" s="8">
        <v>2</v>
      </c>
      <c r="C6" s="8">
        <v>1060</v>
      </c>
      <c r="D6" s="10" t="s">
        <v>17</v>
      </c>
      <c r="E6" s="9" t="s">
        <v>118</v>
      </c>
    </row>
    <row r="7" spans="2:5">
      <c r="B7" s="8">
        <v>3</v>
      </c>
      <c r="C7" s="8">
        <v>1108</v>
      </c>
      <c r="D7" s="10" t="s">
        <v>18</v>
      </c>
      <c r="E7" s="9" t="s">
        <v>119</v>
      </c>
    </row>
    <row r="8" spans="2:5">
      <c r="B8" s="8">
        <v>4</v>
      </c>
      <c r="C8" s="8">
        <v>876</v>
      </c>
      <c r="D8" s="10" t="s">
        <v>19</v>
      </c>
      <c r="E8" s="9" t="s">
        <v>120</v>
      </c>
    </row>
    <row r="9" spans="2:5">
      <c r="B9" s="8">
        <v>5</v>
      </c>
      <c r="C9" s="8">
        <v>639</v>
      </c>
      <c r="D9" s="10" t="s">
        <v>20</v>
      </c>
      <c r="E9" s="9" t="s">
        <v>121</v>
      </c>
    </row>
    <row r="10" spans="2:5">
      <c r="B10" s="8">
        <v>6</v>
      </c>
      <c r="C10" s="8">
        <v>1224</v>
      </c>
      <c r="D10" s="10" t="s">
        <v>21</v>
      </c>
      <c r="E10" s="9" t="s">
        <v>122</v>
      </c>
    </row>
    <row r="11" spans="2:5">
      <c r="B11" s="8">
        <v>7</v>
      </c>
      <c r="C11" s="8">
        <v>1069</v>
      </c>
      <c r="D11" s="10" t="s">
        <v>22</v>
      </c>
      <c r="E11" s="9" t="s">
        <v>118</v>
      </c>
    </row>
  </sheetData>
  <mergeCells count="1">
    <mergeCell ref="B2:D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Calificaciones</vt:lpstr>
      <vt:lpstr>Tareas</vt:lpstr>
      <vt:lpstr>Libro</vt:lpstr>
      <vt:lpstr>Cuaderno</vt:lpstr>
      <vt:lpstr>Incidencias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 Santibanez Elisa (BGSW/EBS3.1-SX)</dc:creator>
  <cp:lastModifiedBy>activ</cp:lastModifiedBy>
  <dcterms:created xsi:type="dcterms:W3CDTF">2025-11-01T17:31:00Z</dcterms:created>
  <dcterms:modified xsi:type="dcterms:W3CDTF">2025-11-14T18:07:20Z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2DDD807D4B964C76B53D2C4B3484C95D_12</vt:lpwstr>
  </property>
  <property fmtid="{D5CDD505-2E9C-101B-9397-08002B2CF9AE}" pid="3" name="KSOProductBuildVer">
    <vt:lpwstr>2058-12.2.0.23155</vt:lpwstr>
  </property>
</Properties>
</file>