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Calificaciones 2025-2026\Segundo Trimestre\"/>
    </mc:Choice>
  </mc:AlternateContent>
  <xr:revisionPtr revIDLastSave="0" documentId="13_ncr:1_{559E4425-1F1C-4597-A77E-4B944BCDCA1B}" xr6:coauthVersionLast="47" xr6:coauthVersionMax="47" xr10:uidLastSave="{00000000-0000-0000-0000-000000000000}"/>
  <bookViews>
    <workbookView xWindow="22932" yWindow="-96" windowWidth="23256" windowHeight="12456" activeTab="3" xr2:uid="{00000000-000D-0000-FFFF-FFFF00000000}"/>
  </bookViews>
  <sheets>
    <sheet name="Calificaciones" sheetId="3" r:id="rId1"/>
    <sheet name="Libro 2" sheetId="4" r:id="rId2"/>
    <sheet name="Tareas" sheetId="1" r:id="rId3"/>
    <sheet name="Cuaderno" sheetId="6" r:id="rId4"/>
    <sheet name="Incidenc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J14" i="3"/>
  <c r="J15" i="3"/>
  <c r="J6" i="3"/>
  <c r="I6" i="3"/>
  <c r="L13" i="3"/>
  <c r="L14" i="3"/>
  <c r="L15" i="3"/>
  <c r="O6" i="6"/>
  <c r="O15" i="6"/>
  <c r="O14" i="6"/>
  <c r="O13" i="6"/>
  <c r="O12" i="6"/>
  <c r="O11" i="6"/>
  <c r="O10" i="6"/>
  <c r="O9" i="6"/>
  <c r="O8" i="6"/>
  <c r="O7" i="6"/>
  <c r="I7" i="3"/>
  <c r="I8" i="3"/>
  <c r="I9" i="3"/>
  <c r="I10" i="3"/>
  <c r="I11" i="3"/>
  <c r="I12" i="3"/>
  <c r="I13" i="3"/>
  <c r="I14" i="3"/>
  <c r="I15" i="3"/>
  <c r="Q5" i="1"/>
  <c r="U7" i="4"/>
  <c r="Q14" i="1"/>
  <c r="Q13" i="1"/>
  <c r="Q12" i="1"/>
  <c r="Q11" i="1"/>
  <c r="Q10" i="1"/>
  <c r="Q9" i="1"/>
  <c r="Q8" i="1"/>
  <c r="Q7" i="1"/>
  <c r="Q6" i="1"/>
  <c r="U16" i="4"/>
  <c r="U15" i="4"/>
  <c r="U14" i="4"/>
  <c r="U13" i="4"/>
  <c r="U12" i="4"/>
  <c r="U11" i="4"/>
  <c r="U10" i="4"/>
  <c r="U9" i="4"/>
  <c r="U8" i="4"/>
  <c r="K16" i="3"/>
  <c r="H16" i="3"/>
  <c r="G16" i="3"/>
  <c r="F16" i="3"/>
  <c r="E16" i="3"/>
  <c r="J16" i="3" l="1"/>
  <c r="L6" i="3"/>
  <c r="L16" i="3"/>
  <c r="I16" i="3"/>
</calcChain>
</file>

<file path=xl/sharedStrings.xml><?xml version="1.0" encoding="utf-8"?>
<sst xmlns="http://schemas.openxmlformats.org/spreadsheetml/2006/main" count="139" uniqueCount="65">
  <si>
    <t>N3PRIMARIA 3°A</t>
  </si>
  <si>
    <t>Ética, Naturaleza y Sociedades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</si>
  <si>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</si>
  <si>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</si>
  <si>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</si>
  <si>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</si>
  <si>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</si>
  <si>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</si>
  <si>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</si>
  <si>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</si>
  <si>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</si>
  <si>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</si>
  <si>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Libro</t>
  </si>
  <si>
    <t>Porcentaje</t>
  </si>
  <si>
    <t>No.</t>
  </si>
  <si>
    <t>Matrícula</t>
  </si>
  <si>
    <t>Nombre del Alumno</t>
  </si>
  <si>
    <t>Gonzalez Parra Wolfrang Alejandro</t>
  </si>
  <si>
    <t>Matute Castillo Andres David</t>
  </si>
  <si>
    <t>Meixner Ponce Christopher Santiago</t>
  </si>
  <si>
    <t>Mendoza Gaspar Carlos</t>
  </si>
  <si>
    <t>Moctexuma Ocegueda Ambar Paulina</t>
  </si>
  <si>
    <t>Rios Alvarado Julia Romina</t>
  </si>
  <si>
    <t>Sanchez Pedraza Amaia Estefania</t>
  </si>
  <si>
    <t>Soto Lobo Danna Sofia</t>
  </si>
  <si>
    <t>Soto Lobo Fernando</t>
  </si>
  <si>
    <t>Velazquez Jasso Daniel</t>
  </si>
  <si>
    <t>TOTAL</t>
  </si>
  <si>
    <t>E</t>
  </si>
  <si>
    <t>Páginas</t>
  </si>
  <si>
    <t>N3 PRIMARIA 3°A</t>
  </si>
  <si>
    <t>Tarea</t>
  </si>
  <si>
    <t xml:space="preserve">Temario </t>
  </si>
  <si>
    <t xml:space="preserve">Revisión del Libro Páginas que debe. </t>
  </si>
  <si>
    <t xml:space="preserve">Revisión del Cuaderno Lecciones no apuntadas. </t>
  </si>
  <si>
    <t>C4</t>
  </si>
  <si>
    <t>Martes 25/11/2025                      ¿Qué es dialogar?</t>
  </si>
  <si>
    <t>C5</t>
  </si>
  <si>
    <t>Miércoles 26/11/2025     Un trato digno para todos</t>
  </si>
  <si>
    <t>Jueves 27/11/2025        ¿Qué es un fanzine?</t>
  </si>
  <si>
    <t>Miércoles 3/12/2025       Una escuela segura</t>
  </si>
  <si>
    <t>Jueves 4/12/2025             Plan de contingencia</t>
  </si>
  <si>
    <t>Martes 9/12/2025              Nos preparamos ante los desastres</t>
  </si>
  <si>
    <t>Miércoles 10/12/2025 ¡Todos somos iguales!</t>
  </si>
  <si>
    <t>C6</t>
  </si>
  <si>
    <t>Jueves 11/12/2025       Roles de género</t>
  </si>
  <si>
    <t>Martes 16/12/2025 Evaluación</t>
  </si>
  <si>
    <t>Jueves 18/12/2025               Estereotipos de género</t>
  </si>
  <si>
    <t xml:space="preserve">Un mundo sin discriminación </t>
  </si>
  <si>
    <t>Lista de Tareas</t>
  </si>
  <si>
    <t>Hablemos con respeto</t>
  </si>
  <si>
    <t>Trato digno</t>
  </si>
  <si>
    <t>Mi primer mini-fanzine</t>
  </si>
  <si>
    <t>Paloma de la Paz</t>
  </si>
  <si>
    <t>Señales de Riesgo</t>
  </si>
  <si>
    <t>Mi plan de contingencia.</t>
  </si>
  <si>
    <t>¿Por qué existe este día?</t>
  </si>
  <si>
    <t>Igualdad para todos</t>
  </si>
  <si>
    <t>Igualdad en imágenes</t>
  </si>
  <si>
    <t>Miércoles 26/11/2025             Un trato digno para todos</t>
  </si>
  <si>
    <t>Actividades</t>
  </si>
  <si>
    <t>Cuaderno</t>
  </si>
  <si>
    <t>Ética, naturaleza y sociedades Libro 2</t>
  </si>
  <si>
    <t>N3 Primaria 3°A</t>
  </si>
  <si>
    <t>Ética, naturaleza y sociedades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</si>
</sst>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164" fontId="1" fillId="0" borderId="1" xfId="0" applyNumberFormat="1" applyFont="1" applyBorder="1"/>
    <xf numFmtId="0" fontId="1" fillId="3" borderId="1" xfId="0" applyFont="1" applyFill="1" applyBorder="1" applyAlignment="1"/>
    <xf numFmtId="0" fontId="2" fillId="3" borderId="1" xfId="0" applyFont="1" applyFill="1" applyBorder="1" applyAlignment="1"/>
    <xf numFmtId="0" fontId="3" fillId="5" borderId="2" xfId="0" applyFont="1" applyFill="1" applyBorder="1" applyAlignment="1">
      <alignment horizontal="center" vertical="center" textRotation="90" wrapText="1"/>
    </xf>
    <xf numFmtId="9" fontId="1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4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"/>
  <sheetViews>
    <sheetView workbookViewId="0">
      <selection activeCell="K27" sqref="K27"/>
    </sheetView>
  </sheetViews>
  <sheetFormatPr defaultColWidth="9.125" defaultRowHeight="15" x14ac:dyDescent="0.25"/>
  <cols>
    <col min="1" max="3" width="9.125" style="1"/>
    <col min="4" max="4" width="34.875" style="1" customWidth="1"/>
    <col min="5" max="6" width="9.25" style="1" customWidth="1"/>
    <col min="7" max="7" width="17.625" style="1" customWidth="1"/>
    <col min="8" max="8" width="10" style="1" customWidth="1"/>
    <col min="9" max="9" width="6.875" style="1" customWidth="1"/>
    <col min="10" max="10" width="14.125" style="1" customWidth="1"/>
    <col min="11" max="11" width="8.625" style="1" customWidth="1"/>
    <col min="12" max="12" width="9.625" style="1" customWidth="1"/>
    <col min="13" max="13" width="29.875" style="1" customWidth="1"/>
    <col min="14" max="16384" width="9.125" style="1"/>
  </cols>
  <sheetData>
    <row r="2" spans="2:13" x14ac:dyDescent="0.25">
      <c r="B2" s="32" t="s">
        <v>0</v>
      </c>
      <c r="C2" s="32"/>
      <c r="D2" s="32"/>
      <c r="E2" s="32" t="s">
        <v>1</v>
      </c>
      <c r="F2" s="32"/>
      <c r="G2" s="32"/>
      <c r="H2" s="32"/>
      <c r="I2" s="32"/>
      <c r="J2" s="32"/>
      <c r="K2" s="32"/>
      <c r="L2" s="32"/>
      <c r="M2" s="32"/>
    </row>
    <row r="3" spans="2:13" x14ac:dyDescent="0.25">
      <c r="B3" s="2"/>
      <c r="C3" s="2"/>
      <c r="D3" s="3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</row>
    <row r="4" spans="2:13" x14ac:dyDescent="0.25">
      <c r="B4" s="5"/>
      <c r="C4" s="5"/>
      <c r="D4" s="5" t="s">
        <v>13</v>
      </c>
      <c r="E4" s="6">
        <v>0.09</v>
      </c>
      <c r="F4" s="6">
        <v>0.09</v>
      </c>
      <c r="G4" s="6">
        <v>0.25</v>
      </c>
      <c r="H4" s="6">
        <v>7.0000000000000007E-2</v>
      </c>
      <c r="I4" s="6">
        <v>0.2</v>
      </c>
      <c r="J4" s="6">
        <v>0.2</v>
      </c>
      <c r="K4" s="6">
        <v>0.1</v>
      </c>
      <c r="L4" s="31">
        <v>1</v>
      </c>
      <c r="M4" s="5"/>
    </row>
    <row r="5" spans="2:13" x14ac:dyDescent="0.25">
      <c r="B5" s="7" t="s">
        <v>14</v>
      </c>
      <c r="C5" s="7" t="s">
        <v>15</v>
      </c>
      <c r="D5" s="8" t="s">
        <v>16</v>
      </c>
      <c r="E5" s="5"/>
      <c r="F5" s="5"/>
      <c r="G5" s="5"/>
      <c r="H5" s="5"/>
      <c r="I5" s="5"/>
      <c r="J5" s="5"/>
      <c r="K5" s="5"/>
      <c r="L5" s="2"/>
      <c r="M5" s="5"/>
    </row>
    <row r="6" spans="2:13" x14ac:dyDescent="0.25">
      <c r="B6" s="9">
        <v>1</v>
      </c>
      <c r="C6" s="9">
        <v>979</v>
      </c>
      <c r="D6" s="5" t="s">
        <v>17</v>
      </c>
      <c r="E6" s="10">
        <v>0</v>
      </c>
      <c r="F6" s="10">
        <v>0</v>
      </c>
      <c r="G6" s="10">
        <v>0</v>
      </c>
      <c r="H6" s="10">
        <v>0</v>
      </c>
      <c r="I6" s="10">
        <f>Tareas!Q5</f>
        <v>0</v>
      </c>
      <c r="J6" s="10">
        <f>Cuaderno!O6*0.5 + 'Libro 2'!U7*0.5</f>
        <v>0</v>
      </c>
      <c r="K6" s="10">
        <v>0</v>
      </c>
      <c r="L6" s="11">
        <f>E6*0.09 + F6*0.09 + G6*0.25 + H6*0.07 + I6*0.2 +J6*0.2 + K6*0.1</f>
        <v>0</v>
      </c>
      <c r="M6" s="5"/>
    </row>
    <row r="7" spans="2:13" x14ac:dyDescent="0.25">
      <c r="B7" s="9">
        <v>2</v>
      </c>
      <c r="C7" s="9">
        <v>1133</v>
      </c>
      <c r="D7" s="5" t="s">
        <v>18</v>
      </c>
      <c r="E7" s="10">
        <v>0</v>
      </c>
      <c r="F7" s="10">
        <v>0</v>
      </c>
      <c r="G7" s="10">
        <v>0</v>
      </c>
      <c r="H7" s="10">
        <v>0</v>
      </c>
      <c r="I7" s="10">
        <f>Tareas!Q6</f>
        <v>0</v>
      </c>
      <c r="J7" s="10">
        <f>Cuaderno!O7*0.5 + 'Libro 2'!U8*0.5</f>
        <v>0</v>
      </c>
      <c r="K7" s="10">
        <v>0</v>
      </c>
      <c r="L7" s="11">
        <f t="shared" ref="L7:L15" si="0">E7*0.09 + F7*0.09 + G7*0.25 + H7*0.07 + I7*0.2 +J7*0.2 + K7*0.1</f>
        <v>0</v>
      </c>
      <c r="M7" s="5"/>
    </row>
    <row r="8" spans="2:13" x14ac:dyDescent="0.25">
      <c r="B8" s="9">
        <v>3</v>
      </c>
      <c r="C8" s="9">
        <v>1235</v>
      </c>
      <c r="D8" s="5" t="s">
        <v>19</v>
      </c>
      <c r="E8" s="10">
        <v>0</v>
      </c>
      <c r="F8" s="10">
        <v>0</v>
      </c>
      <c r="G8" s="10">
        <v>0</v>
      </c>
      <c r="H8" s="10">
        <v>0</v>
      </c>
      <c r="I8" s="10">
        <f>Tareas!Q7</f>
        <v>0</v>
      </c>
      <c r="J8" s="10">
        <f>Cuaderno!O8*0.5 + 'Libro 2'!U9*0.5</f>
        <v>0</v>
      </c>
      <c r="K8" s="10">
        <v>0</v>
      </c>
      <c r="L8" s="11">
        <f t="shared" si="0"/>
        <v>0</v>
      </c>
      <c r="M8" s="5"/>
    </row>
    <row r="9" spans="2:13" x14ac:dyDescent="0.25">
      <c r="B9" s="9">
        <v>4</v>
      </c>
      <c r="C9" s="9">
        <v>986</v>
      </c>
      <c r="D9" s="5" t="s">
        <v>20</v>
      </c>
      <c r="E9" s="10">
        <v>0</v>
      </c>
      <c r="F9" s="10">
        <v>0</v>
      </c>
      <c r="G9" s="10">
        <v>0</v>
      </c>
      <c r="H9" s="10">
        <v>0</v>
      </c>
      <c r="I9" s="10">
        <f>Tareas!Q8</f>
        <v>0</v>
      </c>
      <c r="J9" s="10">
        <f>Cuaderno!O9*0.5 + 'Libro 2'!U10*0.5</f>
        <v>0</v>
      </c>
      <c r="K9" s="10">
        <v>0</v>
      </c>
      <c r="L9" s="11">
        <f t="shared" si="0"/>
        <v>0</v>
      </c>
      <c r="M9" s="5"/>
    </row>
    <row r="10" spans="2:13" x14ac:dyDescent="0.25">
      <c r="B10" s="9">
        <v>5</v>
      </c>
      <c r="C10" s="9">
        <v>1105</v>
      </c>
      <c r="D10" s="5" t="s">
        <v>21</v>
      </c>
      <c r="E10" s="10">
        <v>0</v>
      </c>
      <c r="F10" s="10">
        <v>0</v>
      </c>
      <c r="G10" s="10">
        <v>0</v>
      </c>
      <c r="H10" s="10">
        <v>0</v>
      </c>
      <c r="I10" s="10">
        <f>Tareas!Q9</f>
        <v>0</v>
      </c>
      <c r="J10" s="10">
        <f>Cuaderno!O10*0.5 + 'Libro 2'!U11*0.5</f>
        <v>0</v>
      </c>
      <c r="K10" s="10">
        <v>0</v>
      </c>
      <c r="L10" s="11">
        <f t="shared" si="0"/>
        <v>0</v>
      </c>
      <c r="M10" s="5"/>
    </row>
    <row r="11" spans="2:13" x14ac:dyDescent="0.25">
      <c r="B11" s="9">
        <v>6</v>
      </c>
      <c r="C11" s="9">
        <v>944</v>
      </c>
      <c r="D11" s="5" t="s">
        <v>22</v>
      </c>
      <c r="E11" s="10">
        <v>0</v>
      </c>
      <c r="F11" s="10">
        <v>0</v>
      </c>
      <c r="G11" s="10">
        <v>0</v>
      </c>
      <c r="H11" s="10">
        <v>0</v>
      </c>
      <c r="I11" s="10">
        <f>Tareas!Q10</f>
        <v>0</v>
      </c>
      <c r="J11" s="10">
        <f>Cuaderno!O11*0.5 + 'Libro 2'!U12*0.5</f>
        <v>0</v>
      </c>
      <c r="K11" s="10">
        <v>0</v>
      </c>
      <c r="L11" s="11">
        <f t="shared" si="0"/>
        <v>0</v>
      </c>
      <c r="M11" s="5"/>
    </row>
    <row r="12" spans="2:13" x14ac:dyDescent="0.25">
      <c r="B12" s="9">
        <v>7</v>
      </c>
      <c r="C12" s="9">
        <v>1021</v>
      </c>
      <c r="D12" s="5" t="s">
        <v>23</v>
      </c>
      <c r="E12" s="10">
        <v>0</v>
      </c>
      <c r="F12" s="10">
        <v>0</v>
      </c>
      <c r="G12" s="10">
        <v>0</v>
      </c>
      <c r="H12" s="10">
        <v>0</v>
      </c>
      <c r="I12" s="10">
        <f>Tareas!Q11</f>
        <v>0</v>
      </c>
      <c r="J12" s="10">
        <f>Cuaderno!O12*0.5 + 'Libro 2'!U13*0.5</f>
        <v>0</v>
      </c>
      <c r="K12" s="10">
        <v>0</v>
      </c>
      <c r="L12" s="11">
        <f t="shared" si="0"/>
        <v>0</v>
      </c>
      <c r="M12" s="5"/>
    </row>
    <row r="13" spans="2:13" x14ac:dyDescent="0.25">
      <c r="B13" s="9">
        <v>8</v>
      </c>
      <c r="C13" s="9">
        <v>1219</v>
      </c>
      <c r="D13" s="5" t="s">
        <v>24</v>
      </c>
      <c r="E13" s="10">
        <v>0</v>
      </c>
      <c r="F13" s="10">
        <v>0</v>
      </c>
      <c r="G13" s="10">
        <v>0</v>
      </c>
      <c r="H13" s="10">
        <v>0</v>
      </c>
      <c r="I13" s="10">
        <f>Tareas!Q12</f>
        <v>0</v>
      </c>
      <c r="J13" s="10">
        <f>Cuaderno!O13*0.5 + 'Libro 2'!U14*0.5</f>
        <v>0</v>
      </c>
      <c r="K13" s="10">
        <v>0</v>
      </c>
      <c r="L13" s="11">
        <f t="shared" si="0"/>
        <v>0</v>
      </c>
      <c r="M13" s="5"/>
    </row>
    <row r="14" spans="2:13" x14ac:dyDescent="0.25">
      <c r="B14" s="9">
        <v>9</v>
      </c>
      <c r="C14" s="9">
        <v>1220</v>
      </c>
      <c r="D14" s="5" t="s">
        <v>25</v>
      </c>
      <c r="E14" s="10">
        <v>0</v>
      </c>
      <c r="F14" s="10">
        <v>0</v>
      </c>
      <c r="G14" s="10">
        <v>0</v>
      </c>
      <c r="H14" s="10">
        <v>0</v>
      </c>
      <c r="I14" s="10">
        <f>Tareas!Q13</f>
        <v>0</v>
      </c>
      <c r="J14" s="10">
        <f>Cuaderno!O14*0.5 + 'Libro 2'!U15*0.5</f>
        <v>0</v>
      </c>
      <c r="K14" s="10">
        <v>0</v>
      </c>
      <c r="L14" s="11">
        <f t="shared" si="0"/>
        <v>0</v>
      </c>
      <c r="M14" s="5"/>
    </row>
    <row r="15" spans="2:13" x14ac:dyDescent="0.25">
      <c r="B15" s="9">
        <v>10</v>
      </c>
      <c r="C15" s="9">
        <v>1278</v>
      </c>
      <c r="D15" s="5" t="s">
        <v>26</v>
      </c>
      <c r="E15" s="10">
        <v>0</v>
      </c>
      <c r="F15" s="10">
        <v>0</v>
      </c>
      <c r="G15" s="10">
        <v>0</v>
      </c>
      <c r="H15" s="10">
        <v>0</v>
      </c>
      <c r="I15" s="10">
        <f>Tareas!Q14</f>
        <v>0</v>
      </c>
      <c r="J15" s="10">
        <f>Cuaderno!O15*0.5 + 'Libro 2'!U16*0.5</f>
        <v>0</v>
      </c>
      <c r="K15" s="10">
        <v>0</v>
      </c>
      <c r="L15" s="11">
        <f t="shared" si="0"/>
        <v>0</v>
      </c>
      <c r="M15" s="5"/>
    </row>
    <row r="16" spans="2:13" x14ac:dyDescent="0.25">
      <c r="B16" s="33" t="s">
        <v>27</v>
      </c>
      <c r="C16" s="33"/>
      <c r="D16" s="33"/>
      <c r="E16" s="12">
        <f>AVERAGE(E6:E15)</f>
        <v>0</v>
      </c>
      <c r="F16" s="12">
        <f>AVERAGE(F6:F15)</f>
        <v>0</v>
      </c>
      <c r="G16" s="12">
        <f>AVERAGE(G7:G15)</f>
        <v>0</v>
      </c>
      <c r="H16" s="12">
        <f t="shared" ref="H16:L16" si="1">AVERAGE(H6:H15)</f>
        <v>0</v>
      </c>
      <c r="I16" s="12">
        <f t="shared" si="1"/>
        <v>0</v>
      </c>
      <c r="J16" s="12">
        <f t="shared" si="1"/>
        <v>0</v>
      </c>
      <c r="K16" s="12">
        <f t="shared" si="1"/>
        <v>0</v>
      </c>
      <c r="L16" s="12">
        <f t="shared" si="1"/>
        <v>0</v>
      </c>
      <c r="M16" s="13"/>
    </row>
  </sheetData>
  <mergeCells count="3">
    <mergeCell ref="B2:D2"/>
    <mergeCell ref="E2:M2"/>
    <mergeCell ref="B16:D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16"/>
  <sheetViews>
    <sheetView zoomScale="115" zoomScaleNormal="115" workbookViewId="0">
      <selection activeCell="B3" sqref="B3"/>
    </sheetView>
  </sheetViews>
  <sheetFormatPr defaultColWidth="9.125" defaultRowHeight="15" x14ac:dyDescent="0.25"/>
  <cols>
    <col min="1" max="3" width="9.125" style="1"/>
    <col min="4" max="4" width="35.375" style="1" customWidth="1"/>
    <col min="5" max="14" width="4.625" style="1" customWidth="1"/>
    <col min="15" max="15" width="8.25" style="1" bestFit="1" customWidth="1"/>
    <col min="16" max="16" width="5.75" style="1" bestFit="1" customWidth="1"/>
    <col min="17" max="17" width="6.625" style="1" customWidth="1"/>
    <col min="18" max="18" width="7.75" style="1" customWidth="1"/>
    <col min="19" max="20" width="4.625" style="1" customWidth="1"/>
    <col min="21" max="16384" width="9.125" style="1"/>
  </cols>
  <sheetData>
    <row r="2" spans="2:21" x14ac:dyDescent="0.25">
      <c r="B2" s="32" t="s">
        <v>63</v>
      </c>
      <c r="C2" s="32"/>
      <c r="D2" s="32"/>
      <c r="E2" s="32" t="s">
        <v>62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2:21" ht="124.5" customHeight="1" x14ac:dyDescent="0.25">
      <c r="B3" s="2"/>
      <c r="C3" s="2"/>
      <c r="D3" s="14" t="s">
        <v>12</v>
      </c>
      <c r="E3" s="34" t="s">
        <v>36</v>
      </c>
      <c r="F3" s="43"/>
      <c r="G3" s="34" t="s">
        <v>59</v>
      </c>
      <c r="H3" s="35"/>
      <c r="I3" s="34" t="s">
        <v>39</v>
      </c>
      <c r="J3" s="35"/>
      <c r="K3" s="34" t="s">
        <v>40</v>
      </c>
      <c r="L3" s="35"/>
      <c r="M3" s="34" t="s">
        <v>41</v>
      </c>
      <c r="N3" s="43"/>
      <c r="O3" s="22" t="s">
        <v>42</v>
      </c>
      <c r="P3" s="22" t="s">
        <v>43</v>
      </c>
      <c r="Q3" s="15" t="s">
        <v>45</v>
      </c>
      <c r="R3" s="15" t="s">
        <v>46</v>
      </c>
      <c r="S3" s="38" t="s">
        <v>47</v>
      </c>
      <c r="T3" s="39"/>
      <c r="U3" s="4" t="s">
        <v>10</v>
      </c>
    </row>
    <row r="4" spans="2:21" ht="15.75" customHeight="1" x14ac:dyDescent="0.25">
      <c r="B4" s="2"/>
      <c r="C4" s="2"/>
      <c r="D4" s="14"/>
      <c r="E4" s="36" t="s">
        <v>35</v>
      </c>
      <c r="F4" s="42"/>
      <c r="G4" s="36" t="s">
        <v>37</v>
      </c>
      <c r="H4" s="42"/>
      <c r="I4" s="36" t="s">
        <v>37</v>
      </c>
      <c r="J4" s="42"/>
      <c r="K4" s="36" t="s">
        <v>37</v>
      </c>
      <c r="L4" s="37"/>
      <c r="M4" s="36" t="s">
        <v>37</v>
      </c>
      <c r="N4" s="42"/>
      <c r="O4" s="16" t="s">
        <v>37</v>
      </c>
      <c r="P4" s="16" t="s">
        <v>44</v>
      </c>
      <c r="Q4" s="14" t="s">
        <v>44</v>
      </c>
      <c r="R4" s="14" t="s">
        <v>28</v>
      </c>
      <c r="S4" s="40" t="s">
        <v>44</v>
      </c>
      <c r="T4" s="41"/>
      <c r="U4" s="4"/>
    </row>
    <row r="5" spans="2:21" x14ac:dyDescent="0.25">
      <c r="B5" s="5"/>
      <c r="C5" s="5"/>
      <c r="D5" s="17" t="s">
        <v>29</v>
      </c>
      <c r="E5" s="18">
        <v>44</v>
      </c>
      <c r="F5" s="18">
        <v>45</v>
      </c>
      <c r="G5" s="18">
        <v>22</v>
      </c>
      <c r="H5" s="18">
        <v>23</v>
      </c>
      <c r="I5" s="18">
        <v>24</v>
      </c>
      <c r="J5" s="18">
        <v>25</v>
      </c>
      <c r="K5" s="18">
        <v>26</v>
      </c>
      <c r="L5" s="18">
        <v>27</v>
      </c>
      <c r="M5" s="18">
        <v>28</v>
      </c>
      <c r="N5" s="18">
        <v>29</v>
      </c>
      <c r="O5" s="18">
        <v>30</v>
      </c>
      <c r="P5" s="18">
        <v>28</v>
      </c>
      <c r="Q5" s="18">
        <v>29</v>
      </c>
      <c r="R5" s="18">
        <v>44</v>
      </c>
      <c r="S5" s="19">
        <v>30</v>
      </c>
      <c r="T5" s="18">
        <v>31</v>
      </c>
      <c r="U5" s="23"/>
    </row>
    <row r="6" spans="2:21" x14ac:dyDescent="0.25">
      <c r="B6" s="7" t="s">
        <v>14</v>
      </c>
      <c r="C6" s="7" t="s">
        <v>15</v>
      </c>
      <c r="D6" s="8" t="s">
        <v>16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0"/>
      <c r="T6" s="18"/>
      <c r="U6" s="24"/>
    </row>
    <row r="7" spans="2:21" x14ac:dyDescent="0.25">
      <c r="B7" s="9">
        <v>1</v>
      </c>
      <c r="C7" s="9">
        <v>979</v>
      </c>
      <c r="D7" s="5" t="s">
        <v>17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5">
        <f t="shared" ref="U7:U16" si="0">AVERAGE(E7:T7)</f>
        <v>0</v>
      </c>
    </row>
    <row r="8" spans="2:21" x14ac:dyDescent="0.25">
      <c r="B8" s="9">
        <v>2</v>
      </c>
      <c r="C8" s="9">
        <v>1133</v>
      </c>
      <c r="D8" s="5" t="s">
        <v>18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5">
        <f t="shared" si="0"/>
        <v>0</v>
      </c>
    </row>
    <row r="9" spans="2:21" x14ac:dyDescent="0.25">
      <c r="B9" s="9">
        <v>3</v>
      </c>
      <c r="C9" s="9">
        <v>1235</v>
      </c>
      <c r="D9" s="5" t="s">
        <v>19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5">
        <f t="shared" si="0"/>
        <v>0</v>
      </c>
    </row>
    <row r="10" spans="2:21" x14ac:dyDescent="0.25">
      <c r="B10" s="9">
        <v>4</v>
      </c>
      <c r="C10" s="9">
        <v>986</v>
      </c>
      <c r="D10" s="5" t="s">
        <v>20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5">
        <f t="shared" si="0"/>
        <v>0</v>
      </c>
    </row>
    <row r="11" spans="2:21" x14ac:dyDescent="0.25">
      <c r="B11" s="9">
        <v>5</v>
      </c>
      <c r="C11" s="9">
        <v>1105</v>
      </c>
      <c r="D11" s="5" t="s">
        <v>21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5">
        <f t="shared" si="0"/>
        <v>0</v>
      </c>
    </row>
    <row r="12" spans="2:21" x14ac:dyDescent="0.25">
      <c r="B12" s="9">
        <v>6</v>
      </c>
      <c r="C12" s="9">
        <v>944</v>
      </c>
      <c r="D12" s="5" t="s">
        <v>22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5">
        <f t="shared" si="0"/>
        <v>0</v>
      </c>
    </row>
    <row r="13" spans="2:21" x14ac:dyDescent="0.25">
      <c r="B13" s="9">
        <v>7</v>
      </c>
      <c r="C13" s="9">
        <v>1021</v>
      </c>
      <c r="D13" s="5" t="s">
        <v>23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5">
        <f t="shared" si="0"/>
        <v>0</v>
      </c>
    </row>
    <row r="14" spans="2:21" x14ac:dyDescent="0.25">
      <c r="B14" s="9">
        <v>8</v>
      </c>
      <c r="C14" s="9">
        <v>1219</v>
      </c>
      <c r="D14" s="5" t="s">
        <v>24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5">
        <f t="shared" si="0"/>
        <v>0</v>
      </c>
    </row>
    <row r="15" spans="2:21" x14ac:dyDescent="0.25">
      <c r="B15" s="9">
        <v>9</v>
      </c>
      <c r="C15" s="9">
        <v>1220</v>
      </c>
      <c r="D15" s="5" t="s">
        <v>25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5">
        <f t="shared" si="0"/>
        <v>0</v>
      </c>
    </row>
    <row r="16" spans="2:21" x14ac:dyDescent="0.25">
      <c r="B16" s="9">
        <v>10</v>
      </c>
      <c r="C16" s="9">
        <v>1278</v>
      </c>
      <c r="D16" s="5" t="s">
        <v>26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5">
        <f t="shared" si="0"/>
        <v>0</v>
      </c>
    </row>
  </sheetData>
  <mergeCells count="14">
    <mergeCell ref="B2:D2"/>
    <mergeCell ref="E2:U2"/>
    <mergeCell ref="E3:F3"/>
    <mergeCell ref="G3:H3"/>
    <mergeCell ref="I3:J3"/>
    <mergeCell ref="M3:N3"/>
    <mergeCell ref="K3:L3"/>
    <mergeCell ref="K4:L4"/>
    <mergeCell ref="S3:T3"/>
    <mergeCell ref="S4:T4"/>
    <mergeCell ref="E4:F4"/>
    <mergeCell ref="G4:H4"/>
    <mergeCell ref="I4:J4"/>
    <mergeCell ref="M4:N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4"/>
  <sheetViews>
    <sheetView workbookViewId="0">
      <selection activeCell="T7" sqref="T7"/>
    </sheetView>
  </sheetViews>
  <sheetFormatPr defaultColWidth="9.125" defaultRowHeight="15" x14ac:dyDescent="0.25"/>
  <cols>
    <col min="1" max="3" width="9.125" style="1"/>
    <col min="4" max="4" width="34.875" style="1" customWidth="1"/>
    <col min="5" max="6" width="4.25" style="1" customWidth="1"/>
    <col min="7" max="7" width="4.75" style="1" customWidth="1"/>
    <col min="8" max="9" width="4.25" style="1" customWidth="1"/>
    <col min="10" max="10" width="4.75" style="1" customWidth="1"/>
    <col min="11" max="16" width="4.25" style="1" customWidth="1"/>
    <col min="17" max="17" width="9.625" style="1" customWidth="1"/>
    <col min="18" max="16384" width="9.125" style="1"/>
  </cols>
  <sheetData>
    <row r="2" spans="2:18" x14ac:dyDescent="0.25">
      <c r="B2" s="32" t="s">
        <v>30</v>
      </c>
      <c r="C2" s="32"/>
      <c r="D2" s="32"/>
      <c r="E2" s="32" t="s">
        <v>1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2:18" x14ac:dyDescent="0.25">
      <c r="B3" s="2"/>
      <c r="C3" s="2"/>
      <c r="D3" s="3" t="s">
        <v>31</v>
      </c>
      <c r="E3" s="4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 t="s">
        <v>10</v>
      </c>
    </row>
    <row r="4" spans="2:18" ht="113.1" customHeight="1" x14ac:dyDescent="0.25">
      <c r="B4" s="7" t="s">
        <v>14</v>
      </c>
      <c r="C4" s="7" t="s">
        <v>15</v>
      </c>
      <c r="D4" s="8" t="s">
        <v>16</v>
      </c>
      <c r="E4" s="26" t="s">
        <v>48</v>
      </c>
      <c r="F4" s="26" t="s">
        <v>49</v>
      </c>
      <c r="G4" s="26" t="s">
        <v>50</v>
      </c>
      <c r="H4" s="26" t="s">
        <v>51</v>
      </c>
      <c r="I4" s="26" t="s">
        <v>52</v>
      </c>
      <c r="J4" s="26" t="s">
        <v>53</v>
      </c>
      <c r="K4" s="26" t="s">
        <v>54</v>
      </c>
      <c r="L4" s="26" t="s">
        <v>55</v>
      </c>
      <c r="M4" s="26" t="s">
        <v>56</v>
      </c>
      <c r="N4" s="26" t="s">
        <v>57</v>
      </c>
      <c r="O4" s="26" t="s">
        <v>58</v>
      </c>
      <c r="P4" s="26" t="s">
        <v>32</v>
      </c>
      <c r="Q4" s="2"/>
    </row>
    <row r="5" spans="2:18" x14ac:dyDescent="0.25">
      <c r="B5" s="9">
        <v>1</v>
      </c>
      <c r="C5" s="9">
        <v>979</v>
      </c>
      <c r="D5" s="5" t="s">
        <v>17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11">
        <f t="shared" ref="Q5:Q14" si="0">AVERAGE(E5:P5)</f>
        <v>0</v>
      </c>
    </row>
    <row r="6" spans="2:18" x14ac:dyDescent="0.25">
      <c r="B6" s="9">
        <v>2</v>
      </c>
      <c r="C6" s="9">
        <v>1133</v>
      </c>
      <c r="D6" s="5" t="s">
        <v>18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11">
        <f t="shared" si="0"/>
        <v>0</v>
      </c>
    </row>
    <row r="7" spans="2:18" x14ac:dyDescent="0.25">
      <c r="B7" s="9">
        <v>3</v>
      </c>
      <c r="C7" s="9">
        <v>1235</v>
      </c>
      <c r="D7" s="5" t="s">
        <v>19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11">
        <f t="shared" si="0"/>
        <v>0</v>
      </c>
    </row>
    <row r="8" spans="2:18" x14ac:dyDescent="0.25">
      <c r="B8" s="9">
        <v>4</v>
      </c>
      <c r="C8" s="9">
        <v>986</v>
      </c>
      <c r="D8" s="5" t="s">
        <v>20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11">
        <f t="shared" si="0"/>
        <v>0</v>
      </c>
    </row>
    <row r="9" spans="2:18" x14ac:dyDescent="0.25">
      <c r="B9" s="9">
        <v>5</v>
      </c>
      <c r="C9" s="9">
        <v>1105</v>
      </c>
      <c r="D9" s="5" t="s">
        <v>21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11">
        <f t="shared" si="0"/>
        <v>0</v>
      </c>
    </row>
    <row r="10" spans="2:18" x14ac:dyDescent="0.25">
      <c r="B10" s="9">
        <v>6</v>
      </c>
      <c r="C10" s="9">
        <v>944</v>
      </c>
      <c r="D10" s="5" t="s">
        <v>22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11">
        <f t="shared" si="0"/>
        <v>0</v>
      </c>
    </row>
    <row r="11" spans="2:18" x14ac:dyDescent="0.25">
      <c r="B11" s="9">
        <v>7</v>
      </c>
      <c r="C11" s="9">
        <v>1021</v>
      </c>
      <c r="D11" s="5" t="s">
        <v>23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11">
        <f t="shared" si="0"/>
        <v>0</v>
      </c>
    </row>
    <row r="12" spans="2:18" x14ac:dyDescent="0.25">
      <c r="B12" s="9">
        <v>8</v>
      </c>
      <c r="C12" s="9">
        <v>1219</v>
      </c>
      <c r="D12" s="5" t="s">
        <v>24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11">
        <f t="shared" si="0"/>
        <v>0</v>
      </c>
    </row>
    <row r="13" spans="2:18" x14ac:dyDescent="0.25">
      <c r="B13" s="9">
        <v>9</v>
      </c>
      <c r="C13" s="9">
        <v>1220</v>
      </c>
      <c r="D13" s="5" t="s">
        <v>25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11">
        <f t="shared" si="0"/>
        <v>0</v>
      </c>
    </row>
    <row r="14" spans="2:18" x14ac:dyDescent="0.25">
      <c r="B14" s="9">
        <v>10</v>
      </c>
      <c r="C14" s="9">
        <v>1278</v>
      </c>
      <c r="D14" s="5" t="s">
        <v>26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11">
        <f t="shared" si="0"/>
        <v>0</v>
      </c>
      <c r="R14" s="1">
        <v>4</v>
      </c>
    </row>
  </sheetData>
  <mergeCells count="2">
    <mergeCell ref="B2:D2"/>
    <mergeCell ref="E2:Q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D940-D7C8-4917-95FD-F167F4F2607C}">
  <dimension ref="B2:O15"/>
  <sheetViews>
    <sheetView tabSelected="1" zoomScaleNormal="100" workbookViewId="0">
      <selection activeCell="E3" sqref="E3"/>
    </sheetView>
  </sheetViews>
  <sheetFormatPr defaultColWidth="9.125" defaultRowHeight="15" x14ac:dyDescent="0.25"/>
  <cols>
    <col min="1" max="3" width="9.125" style="1"/>
    <col min="4" max="4" width="35.375" style="1" customWidth="1"/>
    <col min="5" max="9" width="5.75" style="1" bestFit="1" customWidth="1"/>
    <col min="10" max="10" width="8.25" style="1" bestFit="1" customWidth="1"/>
    <col min="11" max="14" width="5.75" style="1" bestFit="1" customWidth="1"/>
    <col min="15" max="16384" width="9.125" style="1"/>
  </cols>
  <sheetData>
    <row r="2" spans="2:15" x14ac:dyDescent="0.25">
      <c r="B2" s="32" t="s">
        <v>63</v>
      </c>
      <c r="C2" s="32"/>
      <c r="D2" s="32"/>
      <c r="E2" s="32" t="s">
        <v>64</v>
      </c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15" ht="124.5" customHeight="1" x14ac:dyDescent="0.25">
      <c r="B3" s="2"/>
      <c r="C3" s="2"/>
      <c r="D3" s="14" t="s">
        <v>61</v>
      </c>
      <c r="E3" s="22" t="s">
        <v>36</v>
      </c>
      <c r="F3" s="22" t="s">
        <v>38</v>
      </c>
      <c r="G3" s="22" t="s">
        <v>39</v>
      </c>
      <c r="H3" s="22" t="s">
        <v>40</v>
      </c>
      <c r="I3" s="22" t="s">
        <v>41</v>
      </c>
      <c r="J3" s="22" t="s">
        <v>42</v>
      </c>
      <c r="K3" s="22" t="s">
        <v>43</v>
      </c>
      <c r="L3" s="15" t="s">
        <v>45</v>
      </c>
      <c r="M3" s="15" t="s">
        <v>46</v>
      </c>
      <c r="N3" s="30" t="s">
        <v>47</v>
      </c>
      <c r="O3" s="4" t="s">
        <v>10</v>
      </c>
    </row>
    <row r="4" spans="2:15" x14ac:dyDescent="0.25">
      <c r="B4" s="5"/>
      <c r="C4" s="5"/>
      <c r="D4" s="17" t="s">
        <v>60</v>
      </c>
      <c r="E4" s="18">
        <v>1</v>
      </c>
      <c r="F4" s="18">
        <v>2</v>
      </c>
      <c r="G4" s="18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9">
        <v>10</v>
      </c>
      <c r="O4" s="23"/>
    </row>
    <row r="5" spans="2:15" x14ac:dyDescent="0.25">
      <c r="B5" s="7" t="s">
        <v>14</v>
      </c>
      <c r="C5" s="7" t="s">
        <v>15</v>
      </c>
      <c r="D5" s="8" t="s">
        <v>16</v>
      </c>
      <c r="E5" s="18"/>
      <c r="F5" s="18"/>
      <c r="G5" s="18"/>
      <c r="H5" s="18"/>
      <c r="I5" s="18"/>
      <c r="J5" s="18"/>
      <c r="K5" s="18"/>
      <c r="L5" s="18"/>
      <c r="M5" s="18"/>
      <c r="N5" s="20"/>
      <c r="O5" s="24"/>
    </row>
    <row r="6" spans="2:15" x14ac:dyDescent="0.25">
      <c r="B6" s="9">
        <v>1</v>
      </c>
      <c r="C6" s="9">
        <v>979</v>
      </c>
      <c r="D6" s="5" t="s">
        <v>17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5">
        <f t="shared" ref="O6:O15" si="0">AVERAGE(E6:N6)</f>
        <v>0</v>
      </c>
    </row>
    <row r="7" spans="2:15" x14ac:dyDescent="0.25">
      <c r="B7" s="9">
        <v>2</v>
      </c>
      <c r="C7" s="9">
        <v>1133</v>
      </c>
      <c r="D7" s="5" t="s">
        <v>18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5">
        <f t="shared" si="0"/>
        <v>0</v>
      </c>
    </row>
    <row r="8" spans="2:15" x14ac:dyDescent="0.25">
      <c r="B8" s="9">
        <v>3</v>
      </c>
      <c r="C8" s="9">
        <v>1235</v>
      </c>
      <c r="D8" s="5" t="s">
        <v>19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5">
        <f t="shared" si="0"/>
        <v>0</v>
      </c>
    </row>
    <row r="9" spans="2:15" x14ac:dyDescent="0.25">
      <c r="B9" s="9">
        <v>4</v>
      </c>
      <c r="C9" s="9">
        <v>986</v>
      </c>
      <c r="D9" s="5" t="s">
        <v>20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5">
        <f t="shared" si="0"/>
        <v>0</v>
      </c>
    </row>
    <row r="10" spans="2:15" x14ac:dyDescent="0.25">
      <c r="B10" s="9">
        <v>5</v>
      </c>
      <c r="C10" s="9">
        <v>1105</v>
      </c>
      <c r="D10" s="5" t="s">
        <v>21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5">
        <f t="shared" si="0"/>
        <v>0</v>
      </c>
    </row>
    <row r="11" spans="2:15" x14ac:dyDescent="0.25">
      <c r="B11" s="9">
        <v>6</v>
      </c>
      <c r="C11" s="9">
        <v>944</v>
      </c>
      <c r="D11" s="5" t="s">
        <v>22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5">
        <f t="shared" si="0"/>
        <v>0</v>
      </c>
    </row>
    <row r="12" spans="2:15" x14ac:dyDescent="0.25">
      <c r="B12" s="9">
        <v>7</v>
      </c>
      <c r="C12" s="9">
        <v>1021</v>
      </c>
      <c r="D12" s="5" t="s">
        <v>23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5">
        <f t="shared" si="0"/>
        <v>0</v>
      </c>
    </row>
    <row r="13" spans="2:15" x14ac:dyDescent="0.25">
      <c r="B13" s="9">
        <v>8</v>
      </c>
      <c r="C13" s="9">
        <v>1219</v>
      </c>
      <c r="D13" s="5" t="s">
        <v>24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5">
        <f t="shared" si="0"/>
        <v>0</v>
      </c>
    </row>
    <row r="14" spans="2:15" x14ac:dyDescent="0.25">
      <c r="B14" s="9">
        <v>9</v>
      </c>
      <c r="C14" s="9">
        <v>1220</v>
      </c>
      <c r="D14" s="5" t="s">
        <v>25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5">
        <f t="shared" si="0"/>
        <v>0</v>
      </c>
    </row>
    <row r="15" spans="2:15" x14ac:dyDescent="0.25">
      <c r="B15" s="9">
        <v>10</v>
      </c>
      <c r="C15" s="9">
        <v>1278</v>
      </c>
      <c r="D15" s="5" t="s">
        <v>26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5">
        <f t="shared" si="0"/>
        <v>0</v>
      </c>
    </row>
  </sheetData>
  <mergeCells count="2">
    <mergeCell ref="B2:D2"/>
    <mergeCell ref="E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4"/>
  <sheetViews>
    <sheetView topLeftCell="D1" workbookViewId="0">
      <selection activeCell="O2" sqref="G2:O2"/>
    </sheetView>
  </sheetViews>
  <sheetFormatPr defaultColWidth="9" defaultRowHeight="15" x14ac:dyDescent="0.25"/>
  <cols>
    <col min="1" max="3" width="9" style="1"/>
    <col min="4" max="4" width="32.5" style="1" customWidth="1"/>
    <col min="5" max="5" width="39.25" style="1" customWidth="1"/>
    <col min="6" max="6" width="47.25" style="1" customWidth="1"/>
    <col min="7" max="16384" width="9" style="1"/>
  </cols>
  <sheetData>
    <row r="2" spans="2:6" x14ac:dyDescent="0.25">
      <c r="B2" s="32" t="s">
        <v>63</v>
      </c>
      <c r="C2" s="32"/>
      <c r="D2" s="32"/>
      <c r="E2" s="44" t="s">
        <v>62</v>
      </c>
      <c r="F2" s="45"/>
    </row>
    <row r="3" spans="2:6" x14ac:dyDescent="0.25">
      <c r="B3" s="28"/>
      <c r="C3" s="28"/>
      <c r="D3" s="29"/>
      <c r="E3" s="4" t="s">
        <v>33</v>
      </c>
      <c r="F3" s="4" t="s">
        <v>34</v>
      </c>
    </row>
    <row r="4" spans="2:6" x14ac:dyDescent="0.25">
      <c r="B4" s="7" t="s">
        <v>14</v>
      </c>
      <c r="C4" s="7" t="s">
        <v>15</v>
      </c>
      <c r="D4" s="8" t="s">
        <v>16</v>
      </c>
      <c r="E4" s="5"/>
      <c r="F4" s="5"/>
    </row>
    <row r="5" spans="2:6" x14ac:dyDescent="0.25">
      <c r="B5" s="9">
        <v>1</v>
      </c>
      <c r="C5" s="9">
        <v>979</v>
      </c>
      <c r="D5" s="5" t="s">
        <v>17</v>
      </c>
      <c r="E5" s="5"/>
      <c r="F5" s="5"/>
    </row>
    <row r="6" spans="2:6" x14ac:dyDescent="0.25">
      <c r="B6" s="9">
        <v>2</v>
      </c>
      <c r="C6" s="9">
        <v>1133</v>
      </c>
      <c r="D6" s="5" t="s">
        <v>18</v>
      </c>
      <c r="E6" s="5"/>
      <c r="F6" s="5"/>
    </row>
    <row r="7" spans="2:6" x14ac:dyDescent="0.25">
      <c r="B7" s="9">
        <v>3</v>
      </c>
      <c r="C7" s="9">
        <v>1235</v>
      </c>
      <c r="D7" s="5" t="s">
        <v>19</v>
      </c>
      <c r="E7" s="5"/>
      <c r="F7" s="5"/>
    </row>
    <row r="8" spans="2:6" x14ac:dyDescent="0.25">
      <c r="B8" s="9">
        <v>4</v>
      </c>
      <c r="C8" s="9">
        <v>986</v>
      </c>
      <c r="D8" s="5" t="s">
        <v>20</v>
      </c>
      <c r="E8" s="5"/>
      <c r="F8" s="5"/>
    </row>
    <row r="9" spans="2:6" x14ac:dyDescent="0.25">
      <c r="B9" s="9">
        <v>5</v>
      </c>
      <c r="C9" s="9">
        <v>1105</v>
      </c>
      <c r="D9" s="5" t="s">
        <v>21</v>
      </c>
      <c r="E9" s="5"/>
      <c r="F9" s="5"/>
    </row>
    <row r="10" spans="2:6" x14ac:dyDescent="0.25">
      <c r="B10" s="9">
        <v>6</v>
      </c>
      <c r="C10" s="9">
        <v>944</v>
      </c>
      <c r="D10" s="5" t="s">
        <v>22</v>
      </c>
      <c r="E10" s="5"/>
      <c r="F10" s="5"/>
    </row>
    <row r="11" spans="2:6" x14ac:dyDescent="0.25">
      <c r="B11" s="9">
        <v>7</v>
      </c>
      <c r="C11" s="9">
        <v>1021</v>
      </c>
      <c r="D11" s="5" t="s">
        <v>23</v>
      </c>
      <c r="E11" s="5"/>
      <c r="F11" s="5"/>
    </row>
    <row r="12" spans="2:6" x14ac:dyDescent="0.25">
      <c r="B12" s="9">
        <v>8</v>
      </c>
      <c r="C12" s="9">
        <v>1219</v>
      </c>
      <c r="D12" s="5" t="s">
        <v>24</v>
      </c>
      <c r="E12" s="5"/>
      <c r="F12" s="5"/>
    </row>
    <row r="13" spans="2:6" x14ac:dyDescent="0.25">
      <c r="B13" s="9">
        <v>9</v>
      </c>
      <c r="C13" s="9">
        <v>1220</v>
      </c>
      <c r="D13" s="5" t="s">
        <v>25</v>
      </c>
      <c r="E13" s="5"/>
      <c r="F13" s="5"/>
    </row>
    <row r="14" spans="2:6" x14ac:dyDescent="0.25">
      <c r="B14" s="9">
        <v>10</v>
      </c>
      <c r="C14" s="9">
        <v>1278</v>
      </c>
      <c r="D14" s="5" t="s">
        <v>26</v>
      </c>
      <c r="E14" s="5"/>
      <c r="F14" s="5"/>
    </row>
  </sheetData>
  <mergeCells count="2">
    <mergeCell ref="B2:D2"/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Libro 2</vt:lpstr>
      <vt:lpstr>Tareas</vt:lpstr>
      <vt:lpstr>Cuaderno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2025-11-01T17:31:00Z</dcterms:created>
  <dcterms:modified xsi:type="dcterms:W3CDTF">2025-11-24T08:12:29Z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6F099ED83EA4415191A9CD85F2EE9FF3_12</vt:lpwstr>
  </property>
  <property fmtid="{D5CDD505-2E9C-101B-9397-08002B2CF9AE}" pid="3" name="KSOProductBuildVer">
    <vt:lpwstr>2058-12.2.0.23155</vt:lpwstr>
  </property>
</Properties>
</file>