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SE2GA\Documents\Personal\Tere Guerra\Meraki\Calificaciones 2025-2026\Segundo Trimestre\"/>
    </mc:Choice>
  </mc:AlternateContent>
  <xr:revisionPtr revIDLastSave="0" documentId="13_ncr:1_{EEFF1C44-6895-4385-87DA-783F09668A3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Calificaciones" sheetId="3" r:id="rId1"/>
    <sheet name="Libro 2" sheetId="5" r:id="rId2"/>
    <sheet name="Tareas" sheetId="1" r:id="rId3"/>
    <sheet name="Cuaderno" sheetId="6" r:id="rId4"/>
    <sheet name="Incidencia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3" l="1"/>
  <c r="J8" i="3"/>
  <c r="J9" i="3"/>
  <c r="J10" i="3"/>
  <c r="J11" i="3"/>
  <c r="J6" i="3"/>
  <c r="I6" i="3"/>
  <c r="K11" i="6"/>
  <c r="K10" i="6"/>
  <c r="K9" i="6"/>
  <c r="K8" i="6"/>
  <c r="K7" i="6"/>
  <c r="K6" i="6"/>
  <c r="V12" i="5"/>
  <c r="V11" i="5"/>
  <c r="V10" i="5"/>
  <c r="V9" i="5"/>
  <c r="V8" i="5"/>
  <c r="V7" i="5"/>
  <c r="L10" i="1" l="1"/>
  <c r="I11" i="3" s="1"/>
  <c r="L11" i="3" s="1"/>
  <c r="L9" i="1"/>
  <c r="I10" i="3" s="1"/>
  <c r="L10" i="3" s="1"/>
  <c r="L8" i="1"/>
  <c r="L7" i="1"/>
  <c r="L6" i="1"/>
  <c r="L5" i="1"/>
  <c r="K12" i="3"/>
  <c r="J12" i="3"/>
  <c r="H12" i="3"/>
  <c r="G12" i="3"/>
  <c r="F12" i="3"/>
  <c r="E12" i="3"/>
  <c r="I9" i="3"/>
  <c r="L9" i="3" s="1"/>
  <c r="I8" i="3"/>
  <c r="L8" i="3" s="1"/>
  <c r="I7" i="3"/>
  <c r="L7" i="3" s="1"/>
  <c r="I12" i="3" l="1"/>
  <c r="L6" i="3"/>
  <c r="L12" i="3" s="1"/>
</calcChain>
</file>

<file path=xl/sharedStrings.xml><?xml version="1.0" encoding="utf-8"?>
<sst xmlns="http://schemas.openxmlformats.org/spreadsheetml/2006/main" count="102" uniqueCount="48">
  <si>
    <t>N4 PRIMARIA 4°A</t>
  </si>
  <si>
    <t>Ética, Naturaleza y Sociedades</t>
  </si>
  <si>
    <t>Concepto a Calificar</t>
  </si>
  <si>
    <t>Examen 1</t>
  </si>
  <si>
    <t>Examen 2</t>
  </si>
  <si>
    <t>Examen Trimestral</t>
  </si>
  <si>
    <t>Disciplina</t>
  </si>
  <si>
    <t>Tareas</t>
  </si>
  <si>
    <t>Registro Diario</t>
  </si>
  <si>
    <t>Proyecto</t>
  </si>
  <si>
    <t>Promedio</t>
  </si>
  <si>
    <t>Comentario de Apoyo Requerido</t>
  </si>
  <si>
    <t>Porcentaje</t>
  </si>
  <si>
    <t>No.</t>
  </si>
  <si>
    <t>Matrícula</t>
  </si>
  <si>
    <t>Nombre del Alumno</t>
  </si>
  <si>
    <t>Alvarez España Alberto Zaid</t>
  </si>
  <si>
    <t>Hernandez madrigal Cesar daniel</t>
  </si>
  <si>
    <t>Lima Aguirre Marcos</t>
  </si>
  <si>
    <t>Nicolas Garcias Said Samuel</t>
  </si>
  <si>
    <t>Rodriguez Garibay Valory</t>
  </si>
  <si>
    <t>Wiechselbaum Romano Alessia Danielle</t>
  </si>
  <si>
    <t>TOTAL</t>
  </si>
  <si>
    <t>Tarea</t>
  </si>
  <si>
    <t xml:space="preserve">Revisión del Libro Páginas que debe. </t>
  </si>
  <si>
    <t xml:space="preserve">Revisión del Cuaderno Lecciones no apuntadas. </t>
  </si>
  <si>
    <t>Lista de Tareas</t>
  </si>
  <si>
    <t>Todos somos iguales</t>
  </si>
  <si>
    <t>¿Qué es la violencia?</t>
  </si>
  <si>
    <t>Tres formas de respetar</t>
  </si>
  <si>
    <t>Paloma de la Paz</t>
  </si>
  <si>
    <t>Organizando mi día</t>
  </si>
  <si>
    <t>Mi pequeño diálogo</t>
  </si>
  <si>
    <t>Libro</t>
  </si>
  <si>
    <t>C4</t>
  </si>
  <si>
    <t>C5</t>
  </si>
  <si>
    <t>E</t>
  </si>
  <si>
    <t>Páginas</t>
  </si>
  <si>
    <t>N4 Primaria 4°A</t>
  </si>
  <si>
    <t>Ética, naturaleza y sociedades Libro 2</t>
  </si>
  <si>
    <t>Lunes 24/11/2025                      Sin discriminación</t>
  </si>
  <si>
    <t>Miércoles 26/11/2025             Sin violencia</t>
  </si>
  <si>
    <t>Lunes 1/12/2025        Respeto a todos</t>
  </si>
  <si>
    <t>Lunes 8/12/2025             Me organizo con los demás</t>
  </si>
  <si>
    <t>Miércoles 10/12/2025              El diálogo</t>
  </si>
  <si>
    <t>Lunes 15/12/2025 Evaluación</t>
  </si>
  <si>
    <t>Actividades</t>
  </si>
  <si>
    <t>Cuaderno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</si>
</sst>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4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0" xfId="0" applyFont="1"/>
    <xf numFmtId="0" fontId="1" fillId="3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1" fillId="0" borderId="1" xfId="0" applyFont="1" applyBorder="1"/>
    <xf numFmtId="9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168" fontId="1" fillId="0" borderId="1" xfId="0" applyNumberFormat="1" applyFont="1" applyFill="1" applyBorder="1" applyAlignment="1">
      <alignment horizontal="center"/>
    </xf>
    <xf numFmtId="168" fontId="1" fillId="0" borderId="1" xfId="0" applyNumberFormat="1" applyFont="1" applyBorder="1" applyAlignment="1">
      <alignment horizontal="center"/>
    </xf>
    <xf numFmtId="168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8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textRotation="90" wrapText="1"/>
    </xf>
    <xf numFmtId="168" fontId="1" fillId="0" borderId="1" xfId="0" applyNumberFormat="1" applyFont="1" applyBorder="1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textRotation="90" wrapText="1"/>
    </xf>
    <xf numFmtId="0" fontId="2" fillId="3" borderId="4" xfId="0" applyFont="1" applyFill="1" applyBorder="1" applyAlignment="1">
      <alignment horizontal="center" vertical="center" textRotation="90" wrapText="1"/>
    </xf>
    <xf numFmtId="0" fontId="2" fillId="3" borderId="3" xfId="0" applyFont="1" applyFill="1" applyBorder="1" applyAlignment="1">
      <alignment horizontal="center" vertical="center" textRotation="90" wrapText="1"/>
    </xf>
    <xf numFmtId="0" fontId="2" fillId="3" borderId="2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168" fontId="2" fillId="5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1" xfId="0" applyFont="1" applyFill="1" applyBorder="1" applyAlignment="1"/>
    <xf numFmtId="0" fontId="2" fillId="3" borderId="1" xfId="0" applyFont="1" applyFill="1" applyBorder="1" applyAlignment="1"/>
    <xf numFmtId="168" fontId="1" fillId="0" borderId="1" xfId="0" applyNumberFormat="1" applyFont="1" applyFill="1" applyBorder="1" applyAlignment="1">
      <alignment horizontal="left"/>
    </xf>
    <xf numFmtId="9" fontId="1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2"/>
  <sheetViews>
    <sheetView workbookViewId="0">
      <selection activeCell="M21" sqref="M21"/>
    </sheetView>
  </sheetViews>
  <sheetFormatPr defaultColWidth="9" defaultRowHeight="15" x14ac:dyDescent="0.25"/>
  <cols>
    <col min="1" max="3" width="9" style="2"/>
    <col min="4" max="4" width="34.875" style="2" customWidth="1"/>
    <col min="5" max="6" width="9.25" style="2" customWidth="1"/>
    <col min="7" max="7" width="17.625" style="2" customWidth="1"/>
    <col min="8" max="8" width="10" style="2" customWidth="1"/>
    <col min="9" max="9" width="6.875" style="2" customWidth="1"/>
    <col min="10" max="10" width="14.125" style="2" customWidth="1"/>
    <col min="11" max="11" width="8.625" style="2" customWidth="1"/>
    <col min="12" max="12" width="9.625" style="2" customWidth="1"/>
    <col min="13" max="13" width="29.875" style="2" customWidth="1"/>
    <col min="14" max="16384" width="9" style="2"/>
  </cols>
  <sheetData>
    <row r="2" spans="2:13" x14ac:dyDescent="0.25">
      <c r="B2" s="1" t="s">
        <v>0</v>
      </c>
      <c r="C2" s="1"/>
      <c r="D2" s="1"/>
      <c r="E2" s="1" t="s">
        <v>1</v>
      </c>
      <c r="F2" s="1"/>
      <c r="G2" s="1"/>
      <c r="H2" s="1"/>
      <c r="I2" s="1"/>
      <c r="J2" s="1"/>
      <c r="K2" s="1"/>
      <c r="L2" s="1"/>
      <c r="M2" s="1"/>
    </row>
    <row r="3" spans="2:13" x14ac:dyDescent="0.25">
      <c r="B3" s="3"/>
      <c r="C3" s="3"/>
      <c r="D3" s="4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</row>
    <row r="4" spans="2:13" x14ac:dyDescent="0.25">
      <c r="B4" s="6"/>
      <c r="C4" s="6"/>
      <c r="D4" s="6" t="s">
        <v>12</v>
      </c>
      <c r="E4" s="7">
        <v>0.09</v>
      </c>
      <c r="F4" s="7">
        <v>0.09</v>
      </c>
      <c r="G4" s="7">
        <v>0.25</v>
      </c>
      <c r="H4" s="7">
        <v>7.0000000000000007E-2</v>
      </c>
      <c r="I4" s="7">
        <v>0.2</v>
      </c>
      <c r="J4" s="7">
        <v>0.2</v>
      </c>
      <c r="K4" s="7">
        <v>0.1</v>
      </c>
      <c r="L4" s="41">
        <v>1</v>
      </c>
      <c r="M4" s="6"/>
    </row>
    <row r="5" spans="2:13" x14ac:dyDescent="0.25">
      <c r="B5" s="8" t="s">
        <v>13</v>
      </c>
      <c r="C5" s="8" t="s">
        <v>14</v>
      </c>
      <c r="D5" s="9" t="s">
        <v>15</v>
      </c>
      <c r="E5" s="6"/>
      <c r="F5" s="6"/>
      <c r="G5" s="6"/>
      <c r="H5" s="6"/>
      <c r="I5" s="6"/>
      <c r="J5" s="6"/>
      <c r="K5" s="6"/>
      <c r="L5" s="3"/>
      <c r="M5" s="6"/>
    </row>
    <row r="6" spans="2:13" x14ac:dyDescent="0.25">
      <c r="B6" s="10">
        <v>1</v>
      </c>
      <c r="C6" s="10">
        <v>941</v>
      </c>
      <c r="D6" s="6" t="s">
        <v>16</v>
      </c>
      <c r="E6" s="11">
        <v>0</v>
      </c>
      <c r="F6" s="11">
        <v>0</v>
      </c>
      <c r="G6" s="11">
        <v>0</v>
      </c>
      <c r="H6" s="11">
        <v>0</v>
      </c>
      <c r="I6" s="12">
        <f>Tareas!L5</f>
        <v>0</v>
      </c>
      <c r="J6" s="12">
        <f>'Libro 2'!V7*0.5+Cuaderno!K6*0.5</f>
        <v>0</v>
      </c>
      <c r="K6" s="12">
        <v>0</v>
      </c>
      <c r="L6" s="13">
        <f>E6*0.09+F6*0.09+G8*0.25+H6*0.07+I6*0.2+J6*0.2+K6*0.1</f>
        <v>0</v>
      </c>
      <c r="M6" s="6"/>
    </row>
    <row r="7" spans="2:13" x14ac:dyDescent="0.25">
      <c r="B7" s="10">
        <v>2</v>
      </c>
      <c r="C7" s="10">
        <v>1096</v>
      </c>
      <c r="D7" s="6" t="s">
        <v>17</v>
      </c>
      <c r="E7" s="11">
        <v>0</v>
      </c>
      <c r="F7" s="11">
        <v>0</v>
      </c>
      <c r="G7" s="11">
        <v>0</v>
      </c>
      <c r="H7" s="11">
        <v>0</v>
      </c>
      <c r="I7" s="12">
        <f>Tareas!L6</f>
        <v>0</v>
      </c>
      <c r="J7" s="12">
        <f>'Libro 2'!V8*0.5+Cuaderno!K7*0.5</f>
        <v>0</v>
      </c>
      <c r="K7" s="12">
        <v>0</v>
      </c>
      <c r="L7" s="13">
        <f t="shared" ref="L7:L11" si="0">E7*0.09+F7*0.09+G7*0.25+H7*0.07+I7*0.2+J7*0.2+K7*0.1</f>
        <v>0</v>
      </c>
      <c r="M7" s="6"/>
    </row>
    <row r="8" spans="2:13" x14ac:dyDescent="0.25">
      <c r="B8" s="10">
        <v>3</v>
      </c>
      <c r="C8" s="10">
        <v>983</v>
      </c>
      <c r="D8" s="6" t="s">
        <v>18</v>
      </c>
      <c r="E8" s="11">
        <v>0</v>
      </c>
      <c r="F8" s="11">
        <v>0</v>
      </c>
      <c r="G8" s="11">
        <v>0</v>
      </c>
      <c r="H8" s="11">
        <v>0</v>
      </c>
      <c r="I8" s="12">
        <f>Tareas!L7</f>
        <v>0</v>
      </c>
      <c r="J8" s="12">
        <f>'Libro 2'!V9*0.5+Cuaderno!K8*0.5</f>
        <v>0</v>
      </c>
      <c r="K8" s="12">
        <v>0</v>
      </c>
      <c r="L8" s="13">
        <f t="shared" si="0"/>
        <v>0</v>
      </c>
      <c r="M8" s="6"/>
    </row>
    <row r="9" spans="2:13" x14ac:dyDescent="0.25">
      <c r="B9" s="10">
        <v>4</v>
      </c>
      <c r="C9" s="10">
        <v>1275</v>
      </c>
      <c r="D9" s="6" t="s">
        <v>19</v>
      </c>
      <c r="E9" s="11">
        <v>0</v>
      </c>
      <c r="F9" s="11">
        <v>0</v>
      </c>
      <c r="G9" s="11">
        <v>0</v>
      </c>
      <c r="H9" s="11">
        <v>0</v>
      </c>
      <c r="I9" s="12">
        <f>Tareas!L8</f>
        <v>0</v>
      </c>
      <c r="J9" s="12">
        <f>'Libro 2'!V10*0.5+Cuaderno!K9*0.5</f>
        <v>0</v>
      </c>
      <c r="K9" s="12">
        <v>0</v>
      </c>
      <c r="L9" s="13">
        <f t="shared" si="0"/>
        <v>0</v>
      </c>
      <c r="M9" s="6"/>
    </row>
    <row r="10" spans="2:13" x14ac:dyDescent="0.25">
      <c r="B10" s="10">
        <v>5</v>
      </c>
      <c r="C10" s="10">
        <v>962</v>
      </c>
      <c r="D10" s="6" t="s">
        <v>20</v>
      </c>
      <c r="E10" s="11">
        <v>0</v>
      </c>
      <c r="F10" s="11">
        <v>0</v>
      </c>
      <c r="G10" s="11">
        <v>0</v>
      </c>
      <c r="H10" s="11">
        <v>0</v>
      </c>
      <c r="I10" s="12">
        <f>Tareas!L9</f>
        <v>0</v>
      </c>
      <c r="J10" s="12">
        <f>'Libro 2'!V11*0.5+Cuaderno!K10*0.5</f>
        <v>0</v>
      </c>
      <c r="K10" s="12">
        <v>0</v>
      </c>
      <c r="L10" s="13">
        <f t="shared" si="0"/>
        <v>0</v>
      </c>
      <c r="M10" s="6"/>
    </row>
    <row r="11" spans="2:13" x14ac:dyDescent="0.25">
      <c r="B11" s="10">
        <v>6</v>
      </c>
      <c r="C11" s="10">
        <v>894</v>
      </c>
      <c r="D11" s="6" t="s">
        <v>21</v>
      </c>
      <c r="E11" s="11">
        <v>0</v>
      </c>
      <c r="F11" s="11">
        <v>0</v>
      </c>
      <c r="G11" s="11">
        <v>0</v>
      </c>
      <c r="H11" s="11">
        <v>0</v>
      </c>
      <c r="I11" s="12">
        <f>Tareas!L10</f>
        <v>0</v>
      </c>
      <c r="J11" s="12">
        <f>'Libro 2'!V12*0.5+Cuaderno!K11*0.5</f>
        <v>0</v>
      </c>
      <c r="K11" s="12">
        <v>0</v>
      </c>
      <c r="L11" s="13">
        <f t="shared" si="0"/>
        <v>0</v>
      </c>
      <c r="M11" s="6"/>
    </row>
    <row r="12" spans="2:13" x14ac:dyDescent="0.25">
      <c r="B12" s="14" t="s">
        <v>22</v>
      </c>
      <c r="C12" s="14"/>
      <c r="D12" s="14"/>
      <c r="E12" s="15">
        <f>AVERAGE(E6:E11)</f>
        <v>0</v>
      </c>
      <c r="F12" s="15">
        <f>AVERAGE(F6:F11)</f>
        <v>0</v>
      </c>
      <c r="G12" s="15">
        <f>AVERAGE(G7:G11)</f>
        <v>0</v>
      </c>
      <c r="H12" s="15">
        <f>AVERAGE(H6:H11)</f>
        <v>0</v>
      </c>
      <c r="I12" s="15">
        <f>AVERAGE(I6:I11)</f>
        <v>0</v>
      </c>
      <c r="J12" s="15">
        <f>AVERAGE(J6:J11)</f>
        <v>0</v>
      </c>
      <c r="K12" s="15">
        <f>AVERAGE(K6:K11)</f>
        <v>0</v>
      </c>
      <c r="L12" s="15">
        <f>AVERAGE(L6:L11)</f>
        <v>0</v>
      </c>
      <c r="M12" s="16"/>
    </row>
  </sheetData>
  <mergeCells count="3">
    <mergeCell ref="B2:D2"/>
    <mergeCell ref="E2:M2"/>
    <mergeCell ref="B12:D1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93599-7246-41EA-95EA-42981D4C3B3B}">
  <dimension ref="B2:V12"/>
  <sheetViews>
    <sheetView workbookViewId="0">
      <selection activeCell="U6" sqref="U6"/>
    </sheetView>
  </sheetViews>
  <sheetFormatPr defaultRowHeight="13.5" x14ac:dyDescent="0.15"/>
  <cols>
    <col min="4" max="4" width="30.375" bestFit="1" customWidth="1"/>
    <col min="5" max="6" width="3.125" bestFit="1" customWidth="1"/>
    <col min="7" max="8" width="3.125" customWidth="1"/>
    <col min="9" max="10" width="3.125" bestFit="1" customWidth="1"/>
    <col min="11" max="12" width="3.125" customWidth="1"/>
    <col min="13" max="16" width="3.125" bestFit="1" customWidth="1"/>
    <col min="17" max="17" width="3.875" customWidth="1"/>
    <col min="18" max="18" width="4.125" customWidth="1"/>
    <col min="19" max="20" width="3.125" bestFit="1" customWidth="1"/>
    <col min="21" max="21" width="5.75" bestFit="1" customWidth="1"/>
  </cols>
  <sheetData>
    <row r="2" spans="2:22" ht="15" x14ac:dyDescent="0.25">
      <c r="B2" s="1" t="s">
        <v>38</v>
      </c>
      <c r="C2" s="1"/>
      <c r="D2" s="1"/>
      <c r="E2" s="1" t="s">
        <v>39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2:22" ht="116.25" customHeight="1" x14ac:dyDescent="0.25">
      <c r="B3" s="3"/>
      <c r="C3" s="3"/>
      <c r="D3" s="23" t="s">
        <v>33</v>
      </c>
      <c r="E3" s="24" t="s">
        <v>40</v>
      </c>
      <c r="F3" s="25"/>
      <c r="G3" s="25"/>
      <c r="H3" s="26"/>
      <c r="I3" s="24" t="s">
        <v>41</v>
      </c>
      <c r="J3" s="25"/>
      <c r="K3" s="25"/>
      <c r="L3" s="26"/>
      <c r="M3" s="24" t="s">
        <v>42</v>
      </c>
      <c r="N3" s="25"/>
      <c r="O3" s="25"/>
      <c r="P3" s="26"/>
      <c r="Q3" s="24" t="s">
        <v>43</v>
      </c>
      <c r="R3" s="25"/>
      <c r="S3" s="24" t="s">
        <v>44</v>
      </c>
      <c r="T3" s="26"/>
      <c r="U3" s="28" t="s">
        <v>45</v>
      </c>
      <c r="V3" s="5" t="s">
        <v>10</v>
      </c>
    </row>
    <row r="4" spans="2:22" ht="15" x14ac:dyDescent="0.25">
      <c r="B4" s="3"/>
      <c r="C4" s="3"/>
      <c r="D4" s="23"/>
      <c r="E4" s="29" t="s">
        <v>34</v>
      </c>
      <c r="F4" s="30"/>
      <c r="G4" s="30"/>
      <c r="H4" s="31"/>
      <c r="I4" s="29" t="s">
        <v>34</v>
      </c>
      <c r="J4" s="30"/>
      <c r="K4" s="30"/>
      <c r="L4" s="31"/>
      <c r="M4" s="29" t="s">
        <v>35</v>
      </c>
      <c r="N4" s="30"/>
      <c r="O4" s="30"/>
      <c r="P4" s="31"/>
      <c r="Q4" s="29" t="s">
        <v>35</v>
      </c>
      <c r="R4" s="30"/>
      <c r="S4" s="29" t="s">
        <v>35</v>
      </c>
      <c r="T4" s="31"/>
      <c r="U4" s="23" t="s">
        <v>36</v>
      </c>
      <c r="V4" s="5"/>
    </row>
    <row r="5" spans="2:22" ht="15" x14ac:dyDescent="0.25">
      <c r="B5" s="6"/>
      <c r="C5" s="6"/>
      <c r="D5" s="21" t="s">
        <v>37</v>
      </c>
      <c r="E5" s="20">
        <v>40</v>
      </c>
      <c r="F5" s="20">
        <v>41</v>
      </c>
      <c r="G5" s="20">
        <v>42</v>
      </c>
      <c r="H5" s="20">
        <v>43</v>
      </c>
      <c r="I5" s="20">
        <v>44</v>
      </c>
      <c r="J5" s="20">
        <v>45</v>
      </c>
      <c r="K5" s="20">
        <v>46</v>
      </c>
      <c r="L5" s="20">
        <v>47</v>
      </c>
      <c r="M5" s="20">
        <v>24</v>
      </c>
      <c r="N5" s="20">
        <v>25</v>
      </c>
      <c r="O5" s="20">
        <v>26</v>
      </c>
      <c r="P5" s="20">
        <v>27</v>
      </c>
      <c r="Q5" s="20">
        <v>28</v>
      </c>
      <c r="R5" s="20">
        <v>29</v>
      </c>
      <c r="S5" s="20">
        <v>30</v>
      </c>
      <c r="T5" s="20">
        <v>31</v>
      </c>
      <c r="U5" s="20">
        <v>40</v>
      </c>
      <c r="V5" s="32"/>
    </row>
    <row r="6" spans="2:22" ht="15" x14ac:dyDescent="0.25">
      <c r="B6" s="8" t="s">
        <v>13</v>
      </c>
      <c r="C6" s="8" t="s">
        <v>14</v>
      </c>
      <c r="D6" s="9" t="s">
        <v>15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33"/>
    </row>
    <row r="7" spans="2:22" ht="15" x14ac:dyDescent="0.25">
      <c r="B7" s="10">
        <v>1</v>
      </c>
      <c r="C7" s="10">
        <v>941</v>
      </c>
      <c r="D7" s="6" t="s">
        <v>16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5">
        <f>AVERAGE(E7:U7)</f>
        <v>0</v>
      </c>
    </row>
    <row r="8" spans="2:22" ht="15" x14ac:dyDescent="0.25">
      <c r="B8" s="10">
        <v>2</v>
      </c>
      <c r="C8" s="10">
        <v>1096</v>
      </c>
      <c r="D8" s="6" t="s">
        <v>17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5">
        <f>AVERAGE(E8:U8)</f>
        <v>0</v>
      </c>
    </row>
    <row r="9" spans="2:22" ht="15" x14ac:dyDescent="0.25">
      <c r="B9" s="10">
        <v>3</v>
      </c>
      <c r="C9" s="10">
        <v>983</v>
      </c>
      <c r="D9" s="6" t="s">
        <v>18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5">
        <f>AVERAGE(E9:U9)</f>
        <v>0</v>
      </c>
    </row>
    <row r="10" spans="2:22" ht="15" x14ac:dyDescent="0.25">
      <c r="B10" s="10">
        <v>4</v>
      </c>
      <c r="C10" s="10">
        <v>1275</v>
      </c>
      <c r="D10" s="6" t="s">
        <v>19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5">
        <f>AVERAGE(E10:U10)</f>
        <v>0</v>
      </c>
    </row>
    <row r="11" spans="2:22" ht="15" x14ac:dyDescent="0.25">
      <c r="B11" s="10">
        <v>5</v>
      </c>
      <c r="C11" s="10">
        <v>962</v>
      </c>
      <c r="D11" s="6" t="s">
        <v>20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5">
        <f>AVERAGE(E11:U11)</f>
        <v>0</v>
      </c>
    </row>
    <row r="12" spans="2:22" ht="15" x14ac:dyDescent="0.25">
      <c r="B12" s="10">
        <v>6</v>
      </c>
      <c r="C12" s="10">
        <v>894</v>
      </c>
      <c r="D12" s="6" t="s">
        <v>21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5">
        <f>AVERAGE(E12:U12)</f>
        <v>0</v>
      </c>
    </row>
  </sheetData>
  <mergeCells count="12">
    <mergeCell ref="M3:P3"/>
    <mergeCell ref="S4:T4"/>
    <mergeCell ref="S3:T3"/>
    <mergeCell ref="Q4:R4"/>
    <mergeCell ref="E4:H4"/>
    <mergeCell ref="I4:L4"/>
    <mergeCell ref="M4:P4"/>
    <mergeCell ref="B2:D2"/>
    <mergeCell ref="E2:V2"/>
    <mergeCell ref="Q3:R3"/>
    <mergeCell ref="E3:H3"/>
    <mergeCell ref="I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18"/>
  <sheetViews>
    <sheetView workbookViewId="0">
      <selection activeCell="B5" sqref="B5:D10"/>
    </sheetView>
  </sheetViews>
  <sheetFormatPr defaultColWidth="9" defaultRowHeight="15" x14ac:dyDescent="0.25"/>
  <cols>
    <col min="1" max="3" width="9" style="2"/>
    <col min="4" max="4" width="34.875" style="2" customWidth="1"/>
    <col min="5" max="6" width="4.25" style="2" customWidth="1"/>
    <col min="7" max="7" width="4.75" style="2" customWidth="1"/>
    <col min="8" max="9" width="4.25" style="2" customWidth="1"/>
    <col min="10" max="10" width="4.75" style="2" customWidth="1"/>
    <col min="11" max="11" width="4.25" style="2" customWidth="1"/>
    <col min="12" max="12" width="9.625" style="2" customWidth="1"/>
    <col min="13" max="16384" width="9" style="2"/>
  </cols>
  <sheetData>
    <row r="2" spans="2:12" x14ac:dyDescent="0.25">
      <c r="B2" s="1" t="s">
        <v>0</v>
      </c>
      <c r="C2" s="1"/>
      <c r="D2" s="1"/>
      <c r="E2" s="1" t="s">
        <v>1</v>
      </c>
      <c r="F2" s="1"/>
      <c r="G2" s="1"/>
      <c r="H2" s="1"/>
      <c r="I2" s="1"/>
      <c r="J2" s="1"/>
      <c r="K2" s="1"/>
      <c r="L2" s="1"/>
    </row>
    <row r="3" spans="2:12" x14ac:dyDescent="0.25">
      <c r="B3" s="3"/>
      <c r="C3" s="3"/>
      <c r="D3" s="4" t="s">
        <v>23</v>
      </c>
      <c r="E3" s="5">
        <v>1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 t="s">
        <v>10</v>
      </c>
    </row>
    <row r="4" spans="2:12" ht="96.95" customHeight="1" x14ac:dyDescent="0.25">
      <c r="B4" s="21" t="s">
        <v>13</v>
      </c>
      <c r="C4" s="21" t="s">
        <v>14</v>
      </c>
      <c r="D4" s="22" t="s">
        <v>15</v>
      </c>
      <c r="E4" s="17" t="s">
        <v>26</v>
      </c>
      <c r="F4" s="17" t="s">
        <v>27</v>
      </c>
      <c r="G4" s="17" t="s">
        <v>28</v>
      </c>
      <c r="H4" s="17" t="s">
        <v>29</v>
      </c>
      <c r="I4" s="17" t="s">
        <v>30</v>
      </c>
      <c r="J4" s="17" t="s">
        <v>31</v>
      </c>
      <c r="K4" s="17" t="s">
        <v>32</v>
      </c>
      <c r="L4" s="3"/>
    </row>
    <row r="5" spans="2:12" x14ac:dyDescent="0.25">
      <c r="B5" s="10">
        <v>1</v>
      </c>
      <c r="C5" s="10">
        <v>941</v>
      </c>
      <c r="D5" s="6" t="s">
        <v>16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3">
        <f>AVERAGE(E5:K5)</f>
        <v>0</v>
      </c>
    </row>
    <row r="6" spans="2:12" x14ac:dyDescent="0.25">
      <c r="B6" s="10">
        <v>2</v>
      </c>
      <c r="C6" s="10">
        <v>1096</v>
      </c>
      <c r="D6" s="6" t="s">
        <v>17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3">
        <f>AVERAGE(E6:K6)</f>
        <v>0</v>
      </c>
    </row>
    <row r="7" spans="2:12" x14ac:dyDescent="0.25">
      <c r="B7" s="10">
        <v>3</v>
      </c>
      <c r="C7" s="10">
        <v>983</v>
      </c>
      <c r="D7" s="6" t="s">
        <v>18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3">
        <f>AVERAGE(E7:K7)</f>
        <v>0</v>
      </c>
    </row>
    <row r="8" spans="2:12" x14ac:dyDescent="0.25">
      <c r="B8" s="10">
        <v>4</v>
      </c>
      <c r="C8" s="10">
        <v>1275</v>
      </c>
      <c r="D8" s="6" t="s">
        <v>19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3">
        <f>AVERAGE(E8:K8)</f>
        <v>0</v>
      </c>
    </row>
    <row r="9" spans="2:12" x14ac:dyDescent="0.25">
      <c r="B9" s="10">
        <v>5</v>
      </c>
      <c r="C9" s="10">
        <v>962</v>
      </c>
      <c r="D9" s="6" t="s">
        <v>20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3">
        <f>AVERAGE(E9:K9)</f>
        <v>0</v>
      </c>
    </row>
    <row r="10" spans="2:12" x14ac:dyDescent="0.25">
      <c r="B10" s="10">
        <v>6</v>
      </c>
      <c r="C10" s="10">
        <v>894</v>
      </c>
      <c r="D10" s="6" t="s">
        <v>21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3">
        <f>AVERAGE(E10:K10)</f>
        <v>0</v>
      </c>
    </row>
    <row r="18" spans="5:5" x14ac:dyDescent="0.25">
      <c r="E18" s="19"/>
    </row>
  </sheetData>
  <mergeCells count="2">
    <mergeCell ref="B2:D2"/>
    <mergeCell ref="E2:L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B1FB3-496B-4EBE-AA62-5DED57B491A2}">
  <dimension ref="B2:K11"/>
  <sheetViews>
    <sheetView workbookViewId="0">
      <selection activeCell="L16" sqref="L16"/>
    </sheetView>
  </sheetViews>
  <sheetFormatPr defaultRowHeight="13.5" x14ac:dyDescent="0.15"/>
  <cols>
    <col min="4" max="4" width="30.375" bestFit="1" customWidth="1"/>
    <col min="5" max="7" width="5.75" bestFit="1" customWidth="1"/>
    <col min="8" max="8" width="8.25" bestFit="1" customWidth="1"/>
    <col min="9" max="10" width="5.75" bestFit="1" customWidth="1"/>
  </cols>
  <sheetData>
    <row r="2" spans="2:11" ht="15" x14ac:dyDescent="0.25">
      <c r="B2" s="1" t="s">
        <v>38</v>
      </c>
      <c r="C2" s="1"/>
      <c r="D2" s="1"/>
      <c r="E2" s="1" t="s">
        <v>39</v>
      </c>
      <c r="F2" s="1"/>
      <c r="G2" s="1"/>
      <c r="H2" s="1"/>
      <c r="I2" s="1"/>
      <c r="J2" s="1"/>
      <c r="K2" s="1"/>
    </row>
    <row r="3" spans="2:11" ht="116.25" customHeight="1" x14ac:dyDescent="0.25">
      <c r="B3" s="3"/>
      <c r="C3" s="3"/>
      <c r="D3" s="23" t="s">
        <v>47</v>
      </c>
      <c r="E3" s="27" t="s">
        <v>40</v>
      </c>
      <c r="F3" s="27" t="s">
        <v>41</v>
      </c>
      <c r="G3" s="27" t="s">
        <v>42</v>
      </c>
      <c r="H3" s="27" t="s">
        <v>43</v>
      </c>
      <c r="I3" s="27" t="s">
        <v>44</v>
      </c>
      <c r="J3" s="28" t="s">
        <v>45</v>
      </c>
      <c r="K3" s="5" t="s">
        <v>10</v>
      </c>
    </row>
    <row r="4" spans="2:11" ht="15" x14ac:dyDescent="0.25">
      <c r="B4" s="6"/>
      <c r="C4" s="6"/>
      <c r="D4" s="21" t="s">
        <v>46</v>
      </c>
      <c r="E4" s="20">
        <v>1</v>
      </c>
      <c r="F4" s="20">
        <v>2</v>
      </c>
      <c r="G4" s="20">
        <v>3</v>
      </c>
      <c r="H4" s="20">
        <v>4</v>
      </c>
      <c r="I4" s="20">
        <v>5</v>
      </c>
      <c r="J4" s="20">
        <v>6</v>
      </c>
      <c r="K4" s="32"/>
    </row>
    <row r="5" spans="2:11" ht="15" x14ac:dyDescent="0.25">
      <c r="B5" s="8" t="s">
        <v>13</v>
      </c>
      <c r="C5" s="8" t="s">
        <v>14</v>
      </c>
      <c r="D5" s="9" t="s">
        <v>15</v>
      </c>
      <c r="E5" s="20"/>
      <c r="F5" s="20"/>
      <c r="G5" s="20"/>
      <c r="H5" s="20"/>
      <c r="I5" s="20"/>
      <c r="J5" s="20"/>
      <c r="K5" s="33"/>
    </row>
    <row r="6" spans="2:11" ht="15" x14ac:dyDescent="0.25">
      <c r="B6" s="10">
        <v>1</v>
      </c>
      <c r="C6" s="10">
        <v>941</v>
      </c>
      <c r="D6" s="6" t="s">
        <v>16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5">
        <f>AVERAGE(E6:J6)</f>
        <v>0</v>
      </c>
    </row>
    <row r="7" spans="2:11" ht="15" x14ac:dyDescent="0.25">
      <c r="B7" s="10">
        <v>2</v>
      </c>
      <c r="C7" s="10">
        <v>1096</v>
      </c>
      <c r="D7" s="6" t="s">
        <v>17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5">
        <f>AVERAGE(E7:J7)</f>
        <v>0</v>
      </c>
    </row>
    <row r="8" spans="2:11" ht="15" x14ac:dyDescent="0.25">
      <c r="B8" s="10">
        <v>3</v>
      </c>
      <c r="C8" s="10">
        <v>983</v>
      </c>
      <c r="D8" s="6" t="s">
        <v>18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5">
        <f>AVERAGE(E8:J8)</f>
        <v>0</v>
      </c>
    </row>
    <row r="9" spans="2:11" ht="15" x14ac:dyDescent="0.25">
      <c r="B9" s="10">
        <v>4</v>
      </c>
      <c r="C9" s="10">
        <v>1275</v>
      </c>
      <c r="D9" s="6" t="s">
        <v>19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5">
        <f>AVERAGE(E9:J9)</f>
        <v>0</v>
      </c>
    </row>
    <row r="10" spans="2:11" ht="15" x14ac:dyDescent="0.25">
      <c r="B10" s="10">
        <v>5</v>
      </c>
      <c r="C10" s="10">
        <v>962</v>
      </c>
      <c r="D10" s="6" t="s">
        <v>20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5">
        <f>AVERAGE(E10:J10)</f>
        <v>0</v>
      </c>
    </row>
    <row r="11" spans="2:11" ht="15" x14ac:dyDescent="0.25">
      <c r="B11" s="10">
        <v>6</v>
      </c>
      <c r="C11" s="10">
        <v>894</v>
      </c>
      <c r="D11" s="6" t="s">
        <v>21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5">
        <f>AVERAGE(E11:J11)</f>
        <v>0</v>
      </c>
    </row>
  </sheetData>
  <mergeCells count="2">
    <mergeCell ref="B2:D2"/>
    <mergeCell ref="E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0"/>
  <sheetViews>
    <sheetView tabSelected="1" workbookViewId="0">
      <selection activeCell="I22" sqref="I22"/>
    </sheetView>
  </sheetViews>
  <sheetFormatPr defaultColWidth="9" defaultRowHeight="15" x14ac:dyDescent="0.25"/>
  <cols>
    <col min="1" max="3" width="9" style="2"/>
    <col min="4" max="4" width="32.625" style="2" bestFit="1" customWidth="1"/>
    <col min="5" max="5" width="30.625" style="2" bestFit="1" customWidth="1"/>
    <col min="6" max="6" width="39.75" style="2" bestFit="1" customWidth="1"/>
    <col min="7" max="16384" width="9" style="2"/>
  </cols>
  <sheetData>
    <row r="2" spans="2:6" x14ac:dyDescent="0.25">
      <c r="B2" s="1" t="s">
        <v>38</v>
      </c>
      <c r="C2" s="1"/>
      <c r="D2" s="1"/>
      <c r="E2" s="36" t="s">
        <v>39</v>
      </c>
      <c r="F2" s="37"/>
    </row>
    <row r="3" spans="2:6" x14ac:dyDescent="0.25">
      <c r="B3" s="38"/>
      <c r="C3" s="38"/>
      <c r="D3" s="39"/>
      <c r="E3" s="5" t="s">
        <v>24</v>
      </c>
      <c r="F3" s="5" t="s">
        <v>25</v>
      </c>
    </row>
    <row r="4" spans="2:6" x14ac:dyDescent="0.25">
      <c r="B4" s="8" t="s">
        <v>13</v>
      </c>
      <c r="C4" s="8" t="s">
        <v>14</v>
      </c>
      <c r="D4" s="9" t="s">
        <v>15</v>
      </c>
      <c r="E4" s="40"/>
      <c r="F4" s="40"/>
    </row>
    <row r="5" spans="2:6" x14ac:dyDescent="0.25">
      <c r="B5" s="10">
        <v>1</v>
      </c>
      <c r="C5" s="10">
        <v>941</v>
      </c>
      <c r="D5" s="6" t="s">
        <v>16</v>
      </c>
      <c r="E5" s="40"/>
      <c r="F5" s="40"/>
    </row>
    <row r="6" spans="2:6" x14ac:dyDescent="0.25">
      <c r="B6" s="10">
        <v>2</v>
      </c>
      <c r="C6" s="10">
        <v>1096</v>
      </c>
      <c r="D6" s="6" t="s">
        <v>17</v>
      </c>
      <c r="E6" s="40"/>
      <c r="F6" s="40"/>
    </row>
    <row r="7" spans="2:6" x14ac:dyDescent="0.25">
      <c r="B7" s="10">
        <v>3</v>
      </c>
      <c r="C7" s="10">
        <v>983</v>
      </c>
      <c r="D7" s="6" t="s">
        <v>18</v>
      </c>
      <c r="E7" s="40"/>
      <c r="F7" s="40"/>
    </row>
    <row r="8" spans="2:6" x14ac:dyDescent="0.25">
      <c r="B8" s="10">
        <v>4</v>
      </c>
      <c r="C8" s="10">
        <v>1275</v>
      </c>
      <c r="D8" s="6" t="s">
        <v>19</v>
      </c>
      <c r="E8" s="40"/>
      <c r="F8" s="40"/>
    </row>
    <row r="9" spans="2:6" x14ac:dyDescent="0.25">
      <c r="B9" s="10">
        <v>5</v>
      </c>
      <c r="C9" s="10">
        <v>962</v>
      </c>
      <c r="D9" s="6" t="s">
        <v>20</v>
      </c>
      <c r="E9" s="40"/>
      <c r="F9" s="40"/>
    </row>
    <row r="10" spans="2:6" x14ac:dyDescent="0.25">
      <c r="B10" s="10">
        <v>6</v>
      </c>
      <c r="C10" s="10">
        <v>894</v>
      </c>
      <c r="D10" s="6" t="s">
        <v>21</v>
      </c>
      <c r="E10" s="40"/>
      <c r="F10" s="40"/>
    </row>
  </sheetData>
  <mergeCells count="2">
    <mergeCell ref="B2:D2"/>
    <mergeCell ref="E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Libro 2</vt:lpstr>
      <vt:lpstr>Tareas</vt:lpstr>
      <vt:lpstr>Cuaderno</vt:lpstr>
      <vt:lpstr>Incidencias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Guerra Santibanez Elisa (BGSW/EBS3.1-SX)</dc:creator>
  <cp:lastModifiedBy>Guerra Santibanez Elisa (BGSW/EBS3.1-SX)</cp:lastModifiedBy>
  <dcterms:created xsi:type="dcterms:W3CDTF">2025-11-01T17:31:00Z</dcterms:created>
  <dcterms:modified xsi:type="dcterms:W3CDTF">2025-11-24T08:05:48Z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E2B028FE6B7740B3B6C716FACCBF37EA_12</vt:lpwstr>
  </property>
  <property fmtid="{D5CDD505-2E9C-101B-9397-08002B2CF9AE}" pid="3" name="KSOProductBuildVer">
    <vt:lpwstr>2058-12.2.0.23155</vt:lpwstr>
  </property>
</Properties>
</file>