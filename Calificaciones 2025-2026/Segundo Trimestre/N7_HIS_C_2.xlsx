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GSE2GA\Documents\Personal\Tere Guerra\Meraki\Calificaciones 2025-2026\Segundo Trimestre\"/>
    </mc:Choice>
  </mc:AlternateContent>
  <xr:revisionPtr revIDLastSave="0" documentId="13_ncr:1_{DB31E025-3C6E-47CA-A11D-62764B9B46B4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Calificaciones" sheetId="3" r:id="rId1"/>
    <sheet name="Tareas" sheetId="1" r:id="rId2"/>
    <sheet name="Cuaderno" sheetId="6" r:id="rId3"/>
    <sheet name="Libro" sheetId="7" r:id="rId4"/>
    <sheet name="Anexos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" i="8" l="1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AG36" i="7"/>
  <c r="AG35" i="7"/>
  <c r="AG34" i="7"/>
  <c r="AG33" i="7"/>
  <c r="AG32" i="7"/>
  <c r="AG31" i="7"/>
  <c r="AG30" i="7"/>
  <c r="AG29" i="7"/>
  <c r="AG28" i="7"/>
  <c r="AG27" i="7"/>
  <c r="AG26" i="7"/>
  <c r="AG25" i="7"/>
  <c r="AG24" i="7"/>
  <c r="AG23" i="7"/>
  <c r="AG22" i="7"/>
  <c r="AG21" i="7"/>
  <c r="AG20" i="7"/>
  <c r="AG19" i="7"/>
  <c r="AG18" i="7"/>
  <c r="AG17" i="7"/>
  <c r="AG16" i="7"/>
  <c r="AG15" i="7"/>
  <c r="AG14" i="7"/>
  <c r="AG13" i="7"/>
  <c r="AG12" i="7"/>
  <c r="AG11" i="7"/>
  <c r="AG10" i="7"/>
  <c r="AG9" i="7"/>
  <c r="AG8" i="7"/>
  <c r="AG7" i="7"/>
  <c r="AG6" i="7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Q36" i="1"/>
  <c r="I36" i="3" s="1"/>
  <c r="L36" i="3" s="1"/>
  <c r="Q35" i="1"/>
  <c r="I35" i="3" s="1"/>
  <c r="L35" i="3" s="1"/>
  <c r="Q34" i="1"/>
  <c r="I34" i="3" s="1"/>
  <c r="L34" i="3" s="1"/>
  <c r="Q33" i="1"/>
  <c r="I33" i="3" s="1"/>
  <c r="L33" i="3" s="1"/>
  <c r="Q32" i="1"/>
  <c r="I32" i="3" s="1"/>
  <c r="L32" i="3" s="1"/>
  <c r="Q31" i="1"/>
  <c r="I31" i="3" s="1"/>
  <c r="L31" i="3" s="1"/>
  <c r="Q30" i="1"/>
  <c r="I30" i="3" s="1"/>
  <c r="L30" i="3" s="1"/>
  <c r="Q29" i="1"/>
  <c r="I29" i="3" s="1"/>
  <c r="L29" i="3" s="1"/>
  <c r="Q28" i="1"/>
  <c r="I28" i="3" s="1"/>
  <c r="L28" i="3" s="1"/>
  <c r="Q27" i="1"/>
  <c r="I27" i="3" s="1"/>
  <c r="L27" i="3" s="1"/>
  <c r="Q26" i="1"/>
  <c r="I26" i="3" s="1"/>
  <c r="L26" i="3" s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I13" i="3" s="1"/>
  <c r="L13" i="3" s="1"/>
  <c r="Q12" i="1"/>
  <c r="I12" i="3" s="1"/>
  <c r="L12" i="3" s="1"/>
  <c r="Q11" i="1"/>
  <c r="I11" i="3" s="1"/>
  <c r="L11" i="3" s="1"/>
  <c r="Q10" i="1"/>
  <c r="I10" i="3" s="1"/>
  <c r="L10" i="3" s="1"/>
  <c r="Q9" i="1"/>
  <c r="I9" i="3" s="1"/>
  <c r="L9" i="3" s="1"/>
  <c r="Q8" i="1"/>
  <c r="I8" i="3" s="1"/>
  <c r="L8" i="3" s="1"/>
  <c r="Q7" i="1"/>
  <c r="I7" i="3" s="1"/>
  <c r="L7" i="3" s="1"/>
  <c r="Q6" i="1"/>
  <c r="I6" i="3" s="1"/>
  <c r="K37" i="3"/>
  <c r="J37" i="3"/>
  <c r="H37" i="3"/>
  <c r="G37" i="3"/>
  <c r="F37" i="3"/>
  <c r="E37" i="3"/>
  <c r="I25" i="3"/>
  <c r="L25" i="3" s="1"/>
  <c r="I24" i="3"/>
  <c r="L24" i="3" s="1"/>
  <c r="I23" i="3"/>
  <c r="L23" i="3" s="1"/>
  <c r="I22" i="3"/>
  <c r="L22" i="3" s="1"/>
  <c r="I21" i="3"/>
  <c r="L21" i="3" s="1"/>
  <c r="I20" i="3"/>
  <c r="L20" i="3" s="1"/>
  <c r="I19" i="3"/>
  <c r="L19" i="3" s="1"/>
  <c r="I18" i="3"/>
  <c r="L18" i="3" s="1"/>
  <c r="I17" i="3"/>
  <c r="L17" i="3" s="1"/>
  <c r="I16" i="3"/>
  <c r="L16" i="3" s="1"/>
  <c r="I15" i="3"/>
  <c r="L15" i="3" s="1"/>
  <c r="I14" i="3"/>
  <c r="L14" i="3" s="1"/>
  <c r="I37" i="3" l="1"/>
  <c r="L6" i="3"/>
  <c r="L37" i="3" s="1"/>
</calcChain>
</file>

<file path=xl/sharedStrings.xml><?xml version="1.0" encoding="utf-8"?>
<sst xmlns="http://schemas.openxmlformats.org/spreadsheetml/2006/main" count="241" uniqueCount="111">
  <si>
    <t>N7 SECUNDARIA 1°A</t>
  </si>
  <si>
    <t>Historia</t>
  </si>
  <si>
    <t>Concepto a Calificar</t>
  </si>
  <si>
    <t>Examen 1</t>
  </si>
  <si>
    <t>Examen 2</t>
  </si>
  <si>
    <t>Examen Trimestral</t>
  </si>
  <si>
    <t>Disciplina</t>
  </si>
  <si>
    <t>Tareas</t>
  </si>
  <si>
    <t>Registro Diario</t>
  </si>
  <si>
    <t>Proyecto</t>
  </si>
  <si>
    <t>Promedio</t>
  </si>
  <si>
    <t>Comentario de Apoyo Requerido</t>
  </si>
  <si>
    <t>Porcentaje</t>
  </si>
  <si>
    <t>No.</t>
  </si>
  <si>
    <t>Matrícula</t>
  </si>
  <si>
    <t>Nombre del Alumno</t>
  </si>
  <si>
    <t>Barbosa Leon Damian Alejandro</t>
  </si>
  <si>
    <t>Barragan Canela Leonela Nicole</t>
  </si>
  <si>
    <t>Barrera Ortega Ximena Paola</t>
  </si>
  <si>
    <t>Bernal Serrano Jessica Liliana</t>
  </si>
  <si>
    <t>Castillo Lopez Carlos Gael</t>
  </si>
  <si>
    <t>Cárdenas Calá Antonella</t>
  </si>
  <si>
    <t>Cruz Gama Mateo Emiliano</t>
  </si>
  <si>
    <t>Cueva Rangel Oswaldo Eleazar</t>
  </si>
  <si>
    <t>Dávalos Sánchez Francisco Tadeo</t>
  </si>
  <si>
    <t>Díaz Elizalde Sofía</t>
  </si>
  <si>
    <t>Espinoza Gonzalez Leonardo Daniel</t>
  </si>
  <si>
    <t>Fuentes Fernandez Maximo Dario</t>
  </si>
  <si>
    <t>PPRIM242550</t>
  </si>
  <si>
    <t>Gonzalez Parra Amanda Rhomina</t>
  </si>
  <si>
    <t>Gonzalez Soto Adiel Emiliano</t>
  </si>
  <si>
    <t>González de la Cerda Isaías Daniel</t>
  </si>
  <si>
    <t>Hernández Félix Neizan Jesús</t>
  </si>
  <si>
    <t>Hernández López Santiago Matías</t>
  </si>
  <si>
    <t>Irineo Navarro Sofia Esmeralda</t>
  </si>
  <si>
    <t>Ivañez Duran Tadeo Salvador</t>
  </si>
  <si>
    <t>Jaime Cambero Ian Carlo</t>
  </si>
  <si>
    <t>Jimenez Moreno Fátima Johana Yazmin</t>
  </si>
  <si>
    <t>Lúa Alexander Yelena Itzayana</t>
  </si>
  <si>
    <t>Martínez Rodríguez Dayana</t>
  </si>
  <si>
    <t>Mendoza Gaspar Julian</t>
  </si>
  <si>
    <t>Paramo Castro Mateo</t>
  </si>
  <si>
    <t>Ponce Ramirez Alexandra Dannaé</t>
  </si>
  <si>
    <t>Solares Moreno Ximena Anahi</t>
  </si>
  <si>
    <t>Solorzano Alvarado Santiago Gabriel</t>
  </si>
  <si>
    <t>Soto Ayala Christian Gabriel</t>
  </si>
  <si>
    <t>Soto Lobo Andrea</t>
  </si>
  <si>
    <t>Vera Gomez Santiago Karim</t>
  </si>
  <si>
    <t>TOTAL</t>
  </si>
  <si>
    <t xml:space="preserve">Historia </t>
  </si>
  <si>
    <t>Tarea</t>
  </si>
  <si>
    <t>BARBOSA LEON DAMIAN ALEJANDRO</t>
  </si>
  <si>
    <t>BARRAGAN CANELA LEONELA NICOLE</t>
  </si>
  <si>
    <t>BARRERA ORTEGA XIMENA PAOLA</t>
  </si>
  <si>
    <t>BERNAL SERRANO JESSICA LILIANA</t>
  </si>
  <si>
    <t>CASTILLO LOPEZ CARLOS GAEL</t>
  </si>
  <si>
    <t>CÁRDENAS CALÁ ANTONELLA</t>
  </si>
  <si>
    <t>CRUZ GAMA MATEO EMILIANO</t>
  </si>
  <si>
    <t>CUEVA RANGEL OSWALDO ELEAZAR</t>
  </si>
  <si>
    <t>DÁVALOS SÁNCHEZ FRANCISCO TADEO</t>
  </si>
  <si>
    <t>DÍAZ ELIZALDE SOFÍA</t>
  </si>
  <si>
    <t>ESPINOZA GONZALEZ LEONARDO DANIEL</t>
  </si>
  <si>
    <t>FUENTES FERNANDEZ MAXIMO DARIO</t>
  </si>
  <si>
    <t>GONZALEZ PARRA AMANDA RHOMINA</t>
  </si>
  <si>
    <t>GONZALEZ SOTO ADIEL EMILIANO</t>
  </si>
  <si>
    <t>GONZÁLEZ DE LA CERDA ISAÍAS DANIEL</t>
  </si>
  <si>
    <t>HERNÁNDEZ FÉLIX NEIZAN JESÚS</t>
  </si>
  <si>
    <t>HERNÁNDEZ LÓPEZ SANTIAGO MATÍAS</t>
  </si>
  <si>
    <t>IRINEO NAVARRO SOFIA ESMERALDA</t>
  </si>
  <si>
    <t>IVAÑEZ DURAN TADEO SALVADOR</t>
  </si>
  <si>
    <t>JAIME CAMBERO IAN CARLO</t>
  </si>
  <si>
    <t>JIMENEZ MORENO FÁTIMA JOHANA YAZMIN</t>
  </si>
  <si>
    <t>LÚA ALEXANDER YELENA ITZAYANA</t>
  </si>
  <si>
    <t>MARTÍNEZ RODRÍGUEZ DAYANA</t>
  </si>
  <si>
    <t>MENDOZA GASPAR JULIAN</t>
  </si>
  <si>
    <t>PARAMO CASTRO MATEO</t>
  </si>
  <si>
    <t>PONCE RAMIREZ ALEXANDRA DANNAÉ</t>
  </si>
  <si>
    <t>SOLARES MORENO XIMENA ANAHI</t>
  </si>
  <si>
    <t>SOLORZANO ALVARADO SANTIAGO GABRIEL</t>
  </si>
  <si>
    <t>SOTO AYALA CHRISTIAN GABRIEL</t>
  </si>
  <si>
    <t>SOTO LOBO ANDREA</t>
  </si>
  <si>
    <t>VERA GOMEZ SANTIAGO KARIM</t>
  </si>
  <si>
    <t>Libro</t>
  </si>
  <si>
    <t>Página</t>
  </si>
  <si>
    <t>Multiculturalidad en México</t>
  </si>
  <si>
    <t>Actividad</t>
  </si>
  <si>
    <t>Pueblos Originarios de México</t>
  </si>
  <si>
    <t>Los Orígenes</t>
  </si>
  <si>
    <t>Diferente cultura otra cosmovisión</t>
  </si>
  <si>
    <t>Pueblos en resistencia</t>
  </si>
  <si>
    <t>Condiciones adversas</t>
  </si>
  <si>
    <t>Rebeliones y levantamientos</t>
  </si>
  <si>
    <t>Mapa sobre la Interculturalidad</t>
  </si>
  <si>
    <t>Los Indigenas del México actual</t>
  </si>
  <si>
    <t>Páginas 99, 100 y 101</t>
  </si>
  <si>
    <t>Etnias de Guadalajara</t>
  </si>
  <si>
    <t xml:space="preserve">África en México página 14 </t>
  </si>
  <si>
    <t>Sincretismo</t>
  </si>
  <si>
    <t>Pueblos en resistencia (friso)</t>
  </si>
  <si>
    <t>La encomienda</t>
  </si>
  <si>
    <t>Fray Bartolome de las Casas</t>
  </si>
  <si>
    <t>La conspiración de los machetes</t>
  </si>
  <si>
    <t>Las reformas borbonicas</t>
  </si>
  <si>
    <t>Temario</t>
  </si>
  <si>
    <t>¿Dónde estas los pueblos indigenas?</t>
  </si>
  <si>
    <t>África en México</t>
  </si>
  <si>
    <t xml:space="preserve">Cosmovisión </t>
  </si>
  <si>
    <t>El mismo mundo con otros ojos</t>
  </si>
  <si>
    <t>Infografía del mundo hacia México</t>
  </si>
  <si>
    <t>Así se vivía</t>
  </si>
  <si>
    <t>Primeras insurrecciones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</si>
</sst>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charset val="134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.5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3" borderId="4" xfId="0" applyFill="1" applyBorder="1"/>
    <xf numFmtId="164" fontId="1" fillId="3" borderId="4" xfId="0" applyNumberFormat="1" applyFont="1" applyFill="1" applyBorder="1" applyAlignment="1">
      <alignment horizontal="center"/>
    </xf>
    <xf numFmtId="0" fontId="1" fillId="3" borderId="4" xfId="0" applyFont="1" applyFill="1" applyBorder="1"/>
    <xf numFmtId="9" fontId="0" fillId="0" borderId="4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164" fontId="1" fillId="5" borderId="4" xfId="0" applyNumberFormat="1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3" fillId="0" borderId="0" xfId="0" applyFont="1"/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textRotation="90" wrapText="1"/>
    </xf>
    <xf numFmtId="0" fontId="3" fillId="3" borderId="4" xfId="0" applyFont="1" applyFill="1" applyBorder="1"/>
    <xf numFmtId="0" fontId="2" fillId="3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3" fillId="0" borderId="4" xfId="0" applyFont="1" applyBorder="1" applyAlignment="1">
      <alignment horizontal="center" vertical="center"/>
    </xf>
    <xf numFmtId="0" fontId="4" fillId="0" borderId="4" xfId="0" applyFont="1" applyFill="1" applyBorder="1"/>
    <xf numFmtId="0" fontId="4" fillId="0" borderId="4" xfId="0" applyFont="1" applyFill="1" applyBorder="1" applyAlignment="1">
      <alignment horizontal="left"/>
    </xf>
    <xf numFmtId="164" fontId="3" fillId="0" borderId="4" xfId="0" applyNumberFormat="1" applyFont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3" borderId="3" xfId="0" applyFont="1" applyFill="1" applyBorder="1" applyAlignment="1">
      <alignment horizontal="center" vertical="center" textRotation="90" wrapText="1"/>
    </xf>
    <xf numFmtId="0" fontId="1" fillId="2" borderId="4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3" borderId="2" xfId="0" applyFont="1" applyFill="1" applyBorder="1" applyAlignment="1">
      <alignment horizontal="center" vertical="center" textRotation="90" wrapText="1"/>
    </xf>
    <xf numFmtId="0" fontId="2" fillId="3" borderId="3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7"/>
  <sheetViews>
    <sheetView workbookViewId="0">
      <selection activeCell="B5" sqref="B5:D36"/>
    </sheetView>
  </sheetViews>
  <sheetFormatPr defaultColWidth="9.125" defaultRowHeight="13.5" x14ac:dyDescent="0.15"/>
  <cols>
    <col min="3" max="3" width="12.625" customWidth="1"/>
    <col min="4" max="4" width="36.5" customWidth="1"/>
    <col min="5" max="5" width="11.5" customWidth="1"/>
    <col min="6" max="6" width="15.125" customWidth="1"/>
    <col min="7" max="7" width="19.875" customWidth="1"/>
    <col min="8" max="8" width="13.5" customWidth="1"/>
    <col min="9" max="9" width="9.75" customWidth="1"/>
    <col min="10" max="10" width="18.125" customWidth="1"/>
    <col min="11" max="11" width="10.125" customWidth="1"/>
    <col min="12" max="12" width="9.625" customWidth="1"/>
    <col min="13" max="13" width="34.25" customWidth="1"/>
  </cols>
  <sheetData>
    <row r="2" spans="2:13" ht="15" x14ac:dyDescent="0.25">
      <c r="B2" s="29" t="s">
        <v>0</v>
      </c>
      <c r="C2" s="29"/>
      <c r="D2" s="29"/>
      <c r="E2" s="29" t="s">
        <v>1</v>
      </c>
      <c r="F2" s="29"/>
      <c r="G2" s="29"/>
      <c r="H2" s="29"/>
      <c r="I2" s="29"/>
      <c r="J2" s="29"/>
      <c r="K2" s="29"/>
      <c r="L2" s="29"/>
      <c r="M2" s="29"/>
    </row>
    <row r="3" spans="2:13" ht="15" x14ac:dyDescent="0.25">
      <c r="B3" s="6"/>
      <c r="C3" s="6"/>
      <c r="D3" s="8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</row>
    <row r="4" spans="2:13" x14ac:dyDescent="0.15">
      <c r="B4" s="3"/>
      <c r="C4" s="3"/>
      <c r="D4" s="3" t="s">
        <v>12</v>
      </c>
      <c r="E4" s="9">
        <v>0.09</v>
      </c>
      <c r="F4" s="9">
        <v>0.09</v>
      </c>
      <c r="G4" s="9">
        <v>0.25</v>
      </c>
      <c r="H4" s="9">
        <v>7.0000000000000007E-2</v>
      </c>
      <c r="I4" s="9">
        <v>0.2</v>
      </c>
      <c r="J4" s="9">
        <v>0.2</v>
      </c>
      <c r="K4" s="9">
        <v>0.1</v>
      </c>
      <c r="L4" s="6"/>
      <c r="M4" s="3"/>
    </row>
    <row r="5" spans="2:13" ht="15" x14ac:dyDescent="0.25">
      <c r="B5" s="1" t="s">
        <v>13</v>
      </c>
      <c r="C5" s="1" t="s">
        <v>14</v>
      </c>
      <c r="D5" s="2" t="s">
        <v>15</v>
      </c>
      <c r="E5" s="3"/>
      <c r="F5" s="3"/>
      <c r="G5" s="3"/>
      <c r="H5" s="3"/>
      <c r="I5" s="3"/>
      <c r="J5" s="3"/>
      <c r="K5" s="3"/>
      <c r="L5" s="6"/>
      <c r="M5" s="3"/>
    </row>
    <row r="6" spans="2:13" ht="15" x14ac:dyDescent="0.25">
      <c r="B6" s="4">
        <v>1</v>
      </c>
      <c r="C6" s="4">
        <v>1261</v>
      </c>
      <c r="D6" t="s">
        <v>16</v>
      </c>
      <c r="E6" s="10">
        <v>3</v>
      </c>
      <c r="F6" s="10">
        <v>7.3</v>
      </c>
      <c r="G6" s="10">
        <v>0</v>
      </c>
      <c r="H6" s="10">
        <v>0</v>
      </c>
      <c r="I6" s="10" t="e">
        <f>Tareas!Q6</f>
        <v>#DIV/0!</v>
      </c>
      <c r="J6" s="10">
        <v>0</v>
      </c>
      <c r="K6" s="10">
        <v>0</v>
      </c>
      <c r="L6" s="7" t="e">
        <f>E6*0.09+F6*0.09+G8*0.25+H6*0.07+I6*0.2+J6*0.2+K6*0.1</f>
        <v>#DIV/0!</v>
      </c>
      <c r="M6" s="3"/>
    </row>
    <row r="7" spans="2:13" ht="15" x14ac:dyDescent="0.25">
      <c r="B7" s="4">
        <v>2</v>
      </c>
      <c r="C7" s="4">
        <v>1249</v>
      </c>
      <c r="D7" s="3" t="s">
        <v>17</v>
      </c>
      <c r="E7" s="10">
        <v>7</v>
      </c>
      <c r="F7" s="10">
        <v>8</v>
      </c>
      <c r="G7" s="10">
        <v>0</v>
      </c>
      <c r="H7" s="10">
        <v>0</v>
      </c>
      <c r="I7" s="10" t="e">
        <f>Tareas!Q7</f>
        <v>#DIV/0!</v>
      </c>
      <c r="J7" s="10">
        <v>0</v>
      </c>
      <c r="K7" s="10">
        <v>0</v>
      </c>
      <c r="L7" s="7" t="e">
        <f t="shared" ref="L7:L15" si="0">E7*0.09+F7*0.09+G7*0.25+H7*0.07+I7*0.2+J7*0.2+K7*0.1</f>
        <v>#DIV/0!</v>
      </c>
      <c r="M7" s="3"/>
    </row>
    <row r="8" spans="2:13" ht="15" x14ac:dyDescent="0.25">
      <c r="B8" s="4">
        <v>3</v>
      </c>
      <c r="C8" s="4">
        <v>1130</v>
      </c>
      <c r="D8" s="3" t="s">
        <v>18</v>
      </c>
      <c r="E8" s="10">
        <v>6</v>
      </c>
      <c r="F8" s="10">
        <v>9.3000000000000007</v>
      </c>
      <c r="G8" s="10">
        <v>0</v>
      </c>
      <c r="H8" s="10">
        <v>0</v>
      </c>
      <c r="I8" s="10" t="e">
        <f>Tareas!Q8</f>
        <v>#DIV/0!</v>
      </c>
      <c r="J8" s="10">
        <v>0</v>
      </c>
      <c r="K8" s="10">
        <v>0</v>
      </c>
      <c r="L8" s="7" t="e">
        <f t="shared" si="0"/>
        <v>#DIV/0!</v>
      </c>
      <c r="M8" s="3"/>
    </row>
    <row r="9" spans="2:13" ht="15" x14ac:dyDescent="0.25">
      <c r="B9" s="4">
        <v>4</v>
      </c>
      <c r="C9" s="4">
        <v>605</v>
      </c>
      <c r="D9" s="3" t="s">
        <v>19</v>
      </c>
      <c r="E9" s="10">
        <v>6</v>
      </c>
      <c r="F9" s="10">
        <v>6.7</v>
      </c>
      <c r="G9" s="10">
        <v>0</v>
      </c>
      <c r="H9" s="10">
        <v>0</v>
      </c>
      <c r="I9" s="10" t="e">
        <f>Tareas!Q9</f>
        <v>#DIV/0!</v>
      </c>
      <c r="J9" s="10">
        <v>0</v>
      </c>
      <c r="K9" s="10">
        <v>0</v>
      </c>
      <c r="L9" s="7" t="e">
        <f t="shared" si="0"/>
        <v>#DIV/0!</v>
      </c>
      <c r="M9" s="3"/>
    </row>
    <row r="10" spans="2:13" ht="15" x14ac:dyDescent="0.25">
      <c r="B10" s="4">
        <v>5</v>
      </c>
      <c r="C10" s="4">
        <v>612</v>
      </c>
      <c r="D10" s="3" t="s">
        <v>20</v>
      </c>
      <c r="E10" s="10">
        <v>6</v>
      </c>
      <c r="F10" s="10">
        <v>8.6999999999999993</v>
      </c>
      <c r="G10" s="10">
        <v>0</v>
      </c>
      <c r="H10" s="10">
        <v>0</v>
      </c>
      <c r="I10" s="10" t="e">
        <f>Tareas!Q10</f>
        <v>#DIV/0!</v>
      </c>
      <c r="J10" s="10">
        <v>0</v>
      </c>
      <c r="K10" s="10">
        <v>0</v>
      </c>
      <c r="L10" s="7" t="e">
        <f t="shared" si="0"/>
        <v>#DIV/0!</v>
      </c>
      <c r="M10" s="3"/>
    </row>
    <row r="11" spans="2:13" ht="15" x14ac:dyDescent="0.25">
      <c r="B11" s="4">
        <v>6</v>
      </c>
      <c r="C11" s="4">
        <v>1159</v>
      </c>
      <c r="D11" s="3" t="s">
        <v>21</v>
      </c>
      <c r="E11" s="10">
        <v>7</v>
      </c>
      <c r="F11" s="10">
        <v>7.3</v>
      </c>
      <c r="G11" s="10">
        <v>0</v>
      </c>
      <c r="H11" s="10">
        <v>0</v>
      </c>
      <c r="I11" s="10" t="e">
        <f>Tareas!Q11</f>
        <v>#DIV/0!</v>
      </c>
      <c r="J11" s="10">
        <v>0</v>
      </c>
      <c r="K11" s="10">
        <v>0</v>
      </c>
      <c r="L11" s="7" t="e">
        <f t="shared" si="0"/>
        <v>#DIV/0!</v>
      </c>
      <c r="M11" s="3"/>
    </row>
    <row r="12" spans="2:13" ht="15" x14ac:dyDescent="0.25">
      <c r="B12" s="4">
        <v>7</v>
      </c>
      <c r="C12" s="4">
        <v>1233</v>
      </c>
      <c r="D12" s="3" t="s">
        <v>22</v>
      </c>
      <c r="E12" s="10">
        <v>4</v>
      </c>
      <c r="F12" s="10">
        <v>6.7</v>
      </c>
      <c r="G12" s="10">
        <v>0</v>
      </c>
      <c r="H12" s="10">
        <v>0</v>
      </c>
      <c r="I12" s="10" t="e">
        <f>Tareas!Q12</f>
        <v>#DIV/0!</v>
      </c>
      <c r="J12" s="10">
        <v>0</v>
      </c>
      <c r="K12" s="10">
        <v>0</v>
      </c>
      <c r="L12" s="7" t="e">
        <f t="shared" si="0"/>
        <v>#DIV/0!</v>
      </c>
      <c r="M12" s="3"/>
    </row>
    <row r="13" spans="2:13" ht="15" x14ac:dyDescent="0.25">
      <c r="B13" s="4">
        <v>8</v>
      </c>
      <c r="C13" s="4">
        <v>1168</v>
      </c>
      <c r="D13" s="3" t="s">
        <v>23</v>
      </c>
      <c r="E13" s="10">
        <v>4</v>
      </c>
      <c r="F13" s="10">
        <v>6.7</v>
      </c>
      <c r="G13" s="10">
        <v>0</v>
      </c>
      <c r="H13" s="10">
        <v>0</v>
      </c>
      <c r="I13" s="10" t="e">
        <f>Tareas!Q13</f>
        <v>#DIV/0!</v>
      </c>
      <c r="J13" s="10">
        <v>0</v>
      </c>
      <c r="K13" s="10">
        <v>0</v>
      </c>
      <c r="L13" s="7" t="e">
        <f t="shared" si="0"/>
        <v>#DIV/0!</v>
      </c>
      <c r="M13" s="3"/>
    </row>
    <row r="14" spans="2:13" ht="15" x14ac:dyDescent="0.25">
      <c r="B14" s="4">
        <v>9</v>
      </c>
      <c r="C14" s="4">
        <v>1150</v>
      </c>
      <c r="D14" s="3" t="s">
        <v>24</v>
      </c>
      <c r="E14" s="10">
        <v>5</v>
      </c>
      <c r="F14" s="10">
        <v>5.3</v>
      </c>
      <c r="G14" s="10">
        <v>0</v>
      </c>
      <c r="H14" s="10">
        <v>0</v>
      </c>
      <c r="I14" s="10" t="e">
        <f>Tareas!Q14</f>
        <v>#DIV/0!</v>
      </c>
      <c r="J14" s="10">
        <v>0</v>
      </c>
      <c r="K14" s="10">
        <v>0</v>
      </c>
      <c r="L14" s="7" t="e">
        <f t="shared" si="0"/>
        <v>#DIV/0!</v>
      </c>
      <c r="M14" s="3"/>
    </row>
    <row r="15" spans="2:13" ht="15" x14ac:dyDescent="0.25">
      <c r="B15" s="4">
        <v>10</v>
      </c>
      <c r="C15" s="4">
        <v>1184</v>
      </c>
      <c r="D15" s="3" t="s">
        <v>25</v>
      </c>
      <c r="E15" s="10">
        <v>7</v>
      </c>
      <c r="F15" s="10">
        <v>8</v>
      </c>
      <c r="G15" s="10">
        <v>0</v>
      </c>
      <c r="H15" s="10">
        <v>0</v>
      </c>
      <c r="I15" s="10" t="e">
        <f>Tareas!Q15</f>
        <v>#DIV/0!</v>
      </c>
      <c r="J15" s="10">
        <v>0</v>
      </c>
      <c r="K15" s="10">
        <v>0</v>
      </c>
      <c r="L15" s="7" t="e">
        <f t="shared" si="0"/>
        <v>#DIV/0!</v>
      </c>
      <c r="M15" s="3"/>
    </row>
    <row r="16" spans="2:13" ht="15" x14ac:dyDescent="0.25">
      <c r="B16" s="4">
        <v>11</v>
      </c>
      <c r="C16" s="4">
        <v>1270</v>
      </c>
      <c r="D16" s="3" t="s">
        <v>26</v>
      </c>
      <c r="E16" s="10">
        <v>5</v>
      </c>
      <c r="F16" s="10">
        <v>7.6</v>
      </c>
      <c r="G16" s="10">
        <v>0</v>
      </c>
      <c r="H16" s="10">
        <v>0</v>
      </c>
      <c r="I16" s="10" t="e">
        <f>Tareas!Q16</f>
        <v>#DIV/0!</v>
      </c>
      <c r="J16" s="10">
        <v>0</v>
      </c>
      <c r="K16" s="10">
        <v>0</v>
      </c>
      <c r="L16" s="7" t="e">
        <f t="shared" ref="L16" si="1">E16*0.09+F16*0.09+G16*0.25+H16*0.07+I16*0.2+J16*0.2+K16*0.1</f>
        <v>#DIV/0!</v>
      </c>
      <c r="M16" s="3"/>
    </row>
    <row r="17" spans="2:13" ht="15" x14ac:dyDescent="0.25">
      <c r="B17" s="4">
        <v>12</v>
      </c>
      <c r="C17" s="4">
        <v>1199</v>
      </c>
      <c r="D17" s="3" t="s">
        <v>27</v>
      </c>
      <c r="E17" s="10">
        <v>5</v>
      </c>
      <c r="F17" s="10">
        <v>6.7</v>
      </c>
      <c r="G17" s="10">
        <v>0</v>
      </c>
      <c r="H17" s="10">
        <v>0</v>
      </c>
      <c r="I17" s="10" t="e">
        <f>Tareas!Q17</f>
        <v>#DIV/0!</v>
      </c>
      <c r="J17" s="10">
        <v>0</v>
      </c>
      <c r="K17" s="10">
        <v>0</v>
      </c>
      <c r="L17" s="7" t="e">
        <f t="shared" ref="L17:L36" si="2">E17*0.09+F17*0.09+G17*0.25+H17*0.07+I17*0.2+J17*0.2+K17*0.1</f>
        <v>#DIV/0!</v>
      </c>
      <c r="M17" s="3"/>
    </row>
    <row r="18" spans="2:13" ht="15" x14ac:dyDescent="0.25">
      <c r="B18" s="4">
        <v>13</v>
      </c>
      <c r="C18" s="4" t="s">
        <v>28</v>
      </c>
      <c r="D18" s="3" t="s">
        <v>29</v>
      </c>
      <c r="E18" s="10">
        <v>7</v>
      </c>
      <c r="F18" s="10">
        <v>8.6999999999999993</v>
      </c>
      <c r="G18" s="10">
        <v>0</v>
      </c>
      <c r="H18" s="10">
        <v>0</v>
      </c>
      <c r="I18" s="10" t="e">
        <f>Tareas!Q18</f>
        <v>#DIV/0!</v>
      </c>
      <c r="J18" s="10">
        <v>0</v>
      </c>
      <c r="K18" s="10">
        <v>0</v>
      </c>
      <c r="L18" s="7" t="e">
        <f t="shared" si="2"/>
        <v>#DIV/0!</v>
      </c>
      <c r="M18" s="3"/>
    </row>
    <row r="19" spans="2:13" ht="15" x14ac:dyDescent="0.25">
      <c r="B19" s="4">
        <v>14</v>
      </c>
      <c r="C19" s="4">
        <v>1246</v>
      </c>
      <c r="D19" s="3" t="s">
        <v>30</v>
      </c>
      <c r="E19" s="10">
        <v>5</v>
      </c>
      <c r="F19" s="10">
        <v>4.7</v>
      </c>
      <c r="G19" s="10">
        <v>0</v>
      </c>
      <c r="H19" s="10">
        <v>0</v>
      </c>
      <c r="I19" s="10" t="e">
        <f>Tareas!Q19</f>
        <v>#DIV/0!</v>
      </c>
      <c r="J19" s="10">
        <v>0</v>
      </c>
      <c r="K19" s="10">
        <v>0</v>
      </c>
      <c r="L19" s="7" t="e">
        <f t="shared" si="2"/>
        <v>#DIV/0!</v>
      </c>
      <c r="M19" s="3"/>
    </row>
    <row r="20" spans="2:13" ht="15" x14ac:dyDescent="0.25">
      <c r="B20" s="4">
        <v>15</v>
      </c>
      <c r="C20" s="4">
        <v>1156</v>
      </c>
      <c r="D20" s="3" t="s">
        <v>31</v>
      </c>
      <c r="E20" s="10">
        <v>3</v>
      </c>
      <c r="F20" s="10">
        <v>6.7</v>
      </c>
      <c r="G20" s="10">
        <v>0</v>
      </c>
      <c r="H20" s="10">
        <v>0</v>
      </c>
      <c r="I20" s="10" t="e">
        <f>Tareas!Q20</f>
        <v>#DIV/0!</v>
      </c>
      <c r="J20" s="10">
        <v>0</v>
      </c>
      <c r="K20" s="10">
        <v>0</v>
      </c>
      <c r="L20" s="7" t="e">
        <f t="shared" si="2"/>
        <v>#DIV/0!</v>
      </c>
      <c r="M20" s="3"/>
    </row>
    <row r="21" spans="2:13" ht="15" x14ac:dyDescent="0.25">
      <c r="B21" s="4">
        <v>16</v>
      </c>
      <c r="C21" s="4">
        <v>1187</v>
      </c>
      <c r="D21" s="3" t="s">
        <v>32</v>
      </c>
      <c r="E21" s="10">
        <v>6</v>
      </c>
      <c r="F21" s="10">
        <v>4.7</v>
      </c>
      <c r="G21" s="10">
        <v>0</v>
      </c>
      <c r="H21" s="10">
        <v>0</v>
      </c>
      <c r="I21" s="10" t="e">
        <f>Tareas!Q21</f>
        <v>#DIV/0!</v>
      </c>
      <c r="J21" s="10">
        <v>0</v>
      </c>
      <c r="K21" s="10">
        <v>0</v>
      </c>
      <c r="L21" s="7" t="e">
        <f t="shared" si="2"/>
        <v>#DIV/0!</v>
      </c>
      <c r="M21" s="3"/>
    </row>
    <row r="22" spans="2:13" ht="15" x14ac:dyDescent="0.25">
      <c r="B22" s="4">
        <v>17</v>
      </c>
      <c r="C22" s="4">
        <v>1202</v>
      </c>
      <c r="D22" s="3" t="s">
        <v>33</v>
      </c>
      <c r="E22" s="10">
        <v>5</v>
      </c>
      <c r="F22" s="10">
        <v>9.3000000000000007</v>
      </c>
      <c r="G22" s="10">
        <v>0</v>
      </c>
      <c r="H22" s="10">
        <v>0</v>
      </c>
      <c r="I22" s="10" t="e">
        <f>Tareas!Q22</f>
        <v>#DIV/0!</v>
      </c>
      <c r="J22" s="10">
        <v>0</v>
      </c>
      <c r="K22" s="10">
        <v>0</v>
      </c>
      <c r="L22" s="7" t="e">
        <f t="shared" si="2"/>
        <v>#DIV/0!</v>
      </c>
      <c r="M22" s="3"/>
    </row>
    <row r="23" spans="2:13" ht="15" x14ac:dyDescent="0.25">
      <c r="B23" s="4">
        <v>18</v>
      </c>
      <c r="C23" s="4">
        <v>1147</v>
      </c>
      <c r="D23" s="3" t="s">
        <v>34</v>
      </c>
      <c r="E23" s="10">
        <v>6</v>
      </c>
      <c r="F23" s="10">
        <v>4</v>
      </c>
      <c r="G23" s="10">
        <v>0</v>
      </c>
      <c r="H23" s="10">
        <v>0</v>
      </c>
      <c r="I23" s="10" t="e">
        <f>Tareas!Q23</f>
        <v>#DIV/0!</v>
      </c>
      <c r="J23" s="10">
        <v>0</v>
      </c>
      <c r="K23" s="10">
        <v>0</v>
      </c>
      <c r="L23" s="7" t="e">
        <f t="shared" si="2"/>
        <v>#DIV/0!</v>
      </c>
      <c r="M23" s="3"/>
    </row>
    <row r="24" spans="2:13" ht="15" x14ac:dyDescent="0.25">
      <c r="B24" s="4">
        <v>19</v>
      </c>
      <c r="C24" s="4">
        <v>1193</v>
      </c>
      <c r="D24" s="3" t="s">
        <v>35</v>
      </c>
      <c r="E24" s="10">
        <v>2</v>
      </c>
      <c r="F24" s="10">
        <v>8.6999999999999993</v>
      </c>
      <c r="G24" s="10">
        <v>0</v>
      </c>
      <c r="H24" s="10">
        <v>0</v>
      </c>
      <c r="I24" s="10" t="e">
        <f>Tareas!Q24</f>
        <v>#DIV/0!</v>
      </c>
      <c r="J24" s="10">
        <v>0</v>
      </c>
      <c r="K24" s="10">
        <v>0</v>
      </c>
      <c r="L24" s="7" t="e">
        <f t="shared" si="2"/>
        <v>#DIV/0!</v>
      </c>
      <c r="M24" s="3"/>
    </row>
    <row r="25" spans="2:13" ht="15" x14ac:dyDescent="0.25">
      <c r="B25" s="4">
        <v>20</v>
      </c>
      <c r="C25" s="4">
        <v>1209</v>
      </c>
      <c r="D25" s="3" t="s">
        <v>36</v>
      </c>
      <c r="E25" s="10">
        <v>6</v>
      </c>
      <c r="F25" s="10">
        <v>8</v>
      </c>
      <c r="G25" s="10">
        <v>0</v>
      </c>
      <c r="H25" s="10">
        <v>0</v>
      </c>
      <c r="I25" s="10" t="e">
        <f>Tareas!Q25</f>
        <v>#DIV/0!</v>
      </c>
      <c r="J25" s="10">
        <v>0</v>
      </c>
      <c r="K25" s="10">
        <v>0</v>
      </c>
      <c r="L25" s="7" t="e">
        <f t="shared" si="2"/>
        <v>#DIV/0!</v>
      </c>
      <c r="M25" s="3"/>
    </row>
    <row r="26" spans="2:13" ht="15" x14ac:dyDescent="0.25">
      <c r="B26" s="4">
        <v>21</v>
      </c>
      <c r="C26" s="4">
        <v>1153</v>
      </c>
      <c r="D26" s="3" t="s">
        <v>37</v>
      </c>
      <c r="E26" s="10">
        <v>5</v>
      </c>
      <c r="F26" s="10">
        <v>10</v>
      </c>
      <c r="G26" s="10">
        <v>0</v>
      </c>
      <c r="H26" s="10">
        <v>0</v>
      </c>
      <c r="I26" s="10" t="e">
        <f>Tareas!Q26</f>
        <v>#DIV/0!</v>
      </c>
      <c r="J26" s="10">
        <v>0</v>
      </c>
      <c r="K26" s="10">
        <v>0</v>
      </c>
      <c r="L26" s="7" t="e">
        <f t="shared" si="2"/>
        <v>#DIV/0!</v>
      </c>
      <c r="M26" s="3"/>
    </row>
    <row r="27" spans="2:13" ht="15" x14ac:dyDescent="0.25">
      <c r="B27" s="4">
        <v>22</v>
      </c>
      <c r="C27" s="4">
        <v>1068</v>
      </c>
      <c r="D27" s="3" t="s">
        <v>38</v>
      </c>
      <c r="E27" s="10">
        <v>5</v>
      </c>
      <c r="F27" s="11">
        <v>0</v>
      </c>
      <c r="G27" s="10">
        <v>0</v>
      </c>
      <c r="H27" s="10">
        <v>0</v>
      </c>
      <c r="I27" s="10" t="e">
        <f>Tareas!Q27</f>
        <v>#DIV/0!</v>
      </c>
      <c r="J27" s="10">
        <v>0</v>
      </c>
      <c r="K27" s="10">
        <v>0</v>
      </c>
      <c r="L27" s="7" t="e">
        <f t="shared" si="2"/>
        <v>#DIV/0!</v>
      </c>
      <c r="M27" s="3"/>
    </row>
    <row r="28" spans="2:13" ht="15" x14ac:dyDescent="0.25">
      <c r="B28" s="4">
        <v>23</v>
      </c>
      <c r="C28" s="4">
        <v>1244</v>
      </c>
      <c r="D28" s="3" t="s">
        <v>39</v>
      </c>
      <c r="E28" s="10">
        <v>4</v>
      </c>
      <c r="F28" s="10">
        <v>6.7</v>
      </c>
      <c r="G28" s="10">
        <v>0</v>
      </c>
      <c r="H28" s="10">
        <v>0</v>
      </c>
      <c r="I28" s="10" t="e">
        <f>Tareas!Q28</f>
        <v>#DIV/0!</v>
      </c>
      <c r="J28" s="10">
        <v>0</v>
      </c>
      <c r="K28" s="10">
        <v>0</v>
      </c>
      <c r="L28" s="7" t="e">
        <f t="shared" si="2"/>
        <v>#DIV/0!</v>
      </c>
      <c r="M28" s="3"/>
    </row>
    <row r="29" spans="2:13" ht="15" x14ac:dyDescent="0.25">
      <c r="B29" s="4">
        <v>24</v>
      </c>
      <c r="C29" s="4">
        <v>719</v>
      </c>
      <c r="D29" s="3" t="s">
        <v>40</v>
      </c>
      <c r="E29" s="10">
        <v>2</v>
      </c>
      <c r="F29" s="10">
        <v>2</v>
      </c>
      <c r="G29" s="10">
        <v>0</v>
      </c>
      <c r="H29" s="10">
        <v>0</v>
      </c>
      <c r="I29" s="10" t="e">
        <f>Tareas!Q29</f>
        <v>#DIV/0!</v>
      </c>
      <c r="J29" s="10">
        <v>0</v>
      </c>
      <c r="K29" s="10">
        <v>0</v>
      </c>
      <c r="L29" s="7" t="e">
        <f t="shared" si="2"/>
        <v>#DIV/0!</v>
      </c>
      <c r="M29" s="3"/>
    </row>
    <row r="30" spans="2:13" ht="15" x14ac:dyDescent="0.25">
      <c r="B30" s="4">
        <v>25</v>
      </c>
      <c r="C30" s="4">
        <v>1259</v>
      </c>
      <c r="D30" s="3" t="s">
        <v>41</v>
      </c>
      <c r="E30" s="10">
        <v>2</v>
      </c>
      <c r="F30" s="10">
        <v>3.3</v>
      </c>
      <c r="G30" s="10">
        <v>0</v>
      </c>
      <c r="H30" s="10">
        <v>0</v>
      </c>
      <c r="I30" s="10" t="e">
        <f>Tareas!Q30</f>
        <v>#DIV/0!</v>
      </c>
      <c r="J30" s="10">
        <v>0</v>
      </c>
      <c r="K30" s="10">
        <v>0</v>
      </c>
      <c r="L30" s="7" t="e">
        <f t="shared" si="2"/>
        <v>#DIV/0!</v>
      </c>
      <c r="M30" s="3"/>
    </row>
    <row r="31" spans="2:13" ht="15" x14ac:dyDescent="0.25">
      <c r="B31" s="4">
        <v>26</v>
      </c>
      <c r="C31" s="4">
        <v>1267</v>
      </c>
      <c r="D31" s="3" t="s">
        <v>42</v>
      </c>
      <c r="E31" s="10">
        <v>6</v>
      </c>
      <c r="F31" s="10">
        <v>8.6999999999999993</v>
      </c>
      <c r="G31" s="10">
        <v>0</v>
      </c>
      <c r="H31" s="10">
        <v>0</v>
      </c>
      <c r="I31" s="10" t="e">
        <f>Tareas!Q31</f>
        <v>#DIV/0!</v>
      </c>
      <c r="J31" s="10">
        <v>0</v>
      </c>
      <c r="K31" s="10">
        <v>0</v>
      </c>
      <c r="L31" s="7" t="e">
        <f t="shared" si="2"/>
        <v>#DIV/0!</v>
      </c>
      <c r="M31" s="3"/>
    </row>
    <row r="32" spans="2:13" ht="15" x14ac:dyDescent="0.25">
      <c r="B32" s="4">
        <v>27</v>
      </c>
      <c r="C32" s="4">
        <v>1206</v>
      </c>
      <c r="D32" s="3" t="s">
        <v>43</v>
      </c>
      <c r="E32" s="10">
        <v>6</v>
      </c>
      <c r="F32" s="10">
        <v>10</v>
      </c>
      <c r="G32" s="10">
        <v>0</v>
      </c>
      <c r="H32" s="10">
        <v>0</v>
      </c>
      <c r="I32" s="10" t="e">
        <f>Tareas!Q32</f>
        <v>#DIV/0!</v>
      </c>
      <c r="J32" s="10">
        <v>0</v>
      </c>
      <c r="K32" s="10">
        <v>0</v>
      </c>
      <c r="L32" s="7" t="e">
        <f t="shared" si="2"/>
        <v>#DIV/0!</v>
      </c>
      <c r="M32" s="3"/>
    </row>
    <row r="33" spans="2:13" ht="15" x14ac:dyDescent="0.25">
      <c r="B33" s="4">
        <v>28</v>
      </c>
      <c r="C33" s="4">
        <v>1144</v>
      </c>
      <c r="D33" s="3" t="s">
        <v>44</v>
      </c>
      <c r="E33" s="10">
        <v>7</v>
      </c>
      <c r="F33" s="10">
        <v>6.7</v>
      </c>
      <c r="G33" s="10">
        <v>0</v>
      </c>
      <c r="H33" s="10">
        <v>0</v>
      </c>
      <c r="I33" s="10" t="e">
        <f>Tareas!Q33</f>
        <v>#DIV/0!</v>
      </c>
      <c r="J33" s="10">
        <v>0</v>
      </c>
      <c r="K33" s="10">
        <v>0</v>
      </c>
      <c r="L33" s="7" t="e">
        <f t="shared" si="2"/>
        <v>#DIV/0!</v>
      </c>
      <c r="M33" s="3"/>
    </row>
    <row r="34" spans="2:13" ht="15" x14ac:dyDescent="0.25">
      <c r="B34" s="4">
        <v>29</v>
      </c>
      <c r="C34" s="4">
        <v>1137</v>
      </c>
      <c r="D34" s="3" t="s">
        <v>45</v>
      </c>
      <c r="E34" s="11">
        <v>0</v>
      </c>
      <c r="F34" s="11">
        <v>0</v>
      </c>
      <c r="G34" s="10">
        <v>0</v>
      </c>
      <c r="H34" s="10">
        <v>0</v>
      </c>
      <c r="I34" s="10" t="e">
        <f>Tareas!Q34</f>
        <v>#DIV/0!</v>
      </c>
      <c r="J34" s="10">
        <v>0</v>
      </c>
      <c r="K34" s="10">
        <v>0</v>
      </c>
      <c r="L34" s="7" t="e">
        <f t="shared" si="2"/>
        <v>#DIV/0!</v>
      </c>
      <c r="M34" s="3"/>
    </row>
    <row r="35" spans="2:13" ht="15" x14ac:dyDescent="0.25">
      <c r="B35" s="4">
        <v>30</v>
      </c>
      <c r="C35" s="4">
        <v>1216</v>
      </c>
      <c r="D35" s="3" t="s">
        <v>46</v>
      </c>
      <c r="E35" s="10">
        <v>7</v>
      </c>
      <c r="F35" s="10">
        <v>10</v>
      </c>
      <c r="G35" s="10">
        <v>0</v>
      </c>
      <c r="H35" s="10">
        <v>0</v>
      </c>
      <c r="I35" s="10" t="e">
        <f>Tareas!Q35</f>
        <v>#DIV/0!</v>
      </c>
      <c r="J35" s="10">
        <v>0</v>
      </c>
      <c r="K35" s="10">
        <v>0</v>
      </c>
      <c r="L35" s="7" t="e">
        <f t="shared" si="2"/>
        <v>#DIV/0!</v>
      </c>
      <c r="M35" s="3"/>
    </row>
    <row r="36" spans="2:13" ht="15" x14ac:dyDescent="0.25">
      <c r="B36" s="4">
        <v>31</v>
      </c>
      <c r="C36" s="4">
        <v>1254</v>
      </c>
      <c r="D36" s="3" t="s">
        <v>47</v>
      </c>
      <c r="E36" s="10">
        <v>8</v>
      </c>
      <c r="F36" s="10">
        <v>8</v>
      </c>
      <c r="G36" s="10">
        <v>0</v>
      </c>
      <c r="H36" s="10">
        <v>0</v>
      </c>
      <c r="I36" s="10" t="e">
        <f>Tareas!Q36</f>
        <v>#DIV/0!</v>
      </c>
      <c r="J36" s="10">
        <v>0</v>
      </c>
      <c r="K36" s="10">
        <v>0</v>
      </c>
      <c r="L36" s="7" t="e">
        <f t="shared" si="2"/>
        <v>#DIV/0!</v>
      </c>
      <c r="M36" s="3"/>
    </row>
    <row r="37" spans="2:13" ht="15" x14ac:dyDescent="0.25">
      <c r="B37" s="30" t="s">
        <v>48</v>
      </c>
      <c r="C37" s="31"/>
      <c r="D37" s="32"/>
      <c r="E37" s="12">
        <f>AVERAGE(E6:E36)</f>
        <v>5.0645161290322598</v>
      </c>
      <c r="F37" s="12">
        <f>AVERAGE(F6:F36)</f>
        <v>6.7258064516129004</v>
      </c>
      <c r="G37" s="12">
        <f t="shared" ref="G37:L37" si="3">AVERAGE(G6:G36)</f>
        <v>0</v>
      </c>
      <c r="H37" s="12">
        <f t="shared" si="3"/>
        <v>0</v>
      </c>
      <c r="I37" s="12" t="e">
        <f t="shared" si="3"/>
        <v>#DIV/0!</v>
      </c>
      <c r="J37" s="12">
        <f t="shared" si="3"/>
        <v>0</v>
      </c>
      <c r="K37" s="12">
        <f t="shared" si="3"/>
        <v>0</v>
      </c>
      <c r="L37" s="12" t="e">
        <f t="shared" si="3"/>
        <v>#DIV/0!</v>
      </c>
      <c r="M37" s="13"/>
    </row>
  </sheetData>
  <mergeCells count="3">
    <mergeCell ref="B2:D2"/>
    <mergeCell ref="E2:M2"/>
    <mergeCell ref="B37:D3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36"/>
  <sheetViews>
    <sheetView zoomScale="85" zoomScaleNormal="85" workbookViewId="0">
      <selection activeCell="U29" sqref="U29"/>
    </sheetView>
  </sheetViews>
  <sheetFormatPr defaultColWidth="9.125" defaultRowHeight="14.25" x14ac:dyDescent="0.2"/>
  <cols>
    <col min="1" max="2" width="9.125" style="14"/>
    <col min="3" max="3" width="12.625" style="14" customWidth="1"/>
    <col min="4" max="4" width="40.625" style="14" customWidth="1"/>
    <col min="5" max="5" width="4.5" style="14" bestFit="1" customWidth="1"/>
    <col min="6" max="6" width="5.75" style="14" bestFit="1" customWidth="1"/>
    <col min="7" max="13" width="4.5" style="14" bestFit="1" customWidth="1"/>
    <col min="14" max="14" width="5.875" style="14" bestFit="1" customWidth="1"/>
    <col min="15" max="16" width="4.5" style="14" bestFit="1" customWidth="1"/>
    <col min="17" max="17" width="10.25" style="14" customWidth="1"/>
    <col min="18" max="16384" width="9.125" style="14"/>
  </cols>
  <sheetData>
    <row r="2" spans="2:17" ht="15" x14ac:dyDescent="0.25">
      <c r="B2" s="33" t="s">
        <v>0</v>
      </c>
      <c r="C2" s="33"/>
      <c r="D2" s="33"/>
      <c r="E2" s="33" t="s">
        <v>49</v>
      </c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2:17" ht="174.75" customHeight="1" x14ac:dyDescent="0.2">
      <c r="B3" s="35"/>
      <c r="C3" s="35"/>
      <c r="D3" s="34" t="s">
        <v>50</v>
      </c>
      <c r="E3" s="16" t="s">
        <v>92</v>
      </c>
      <c r="F3" s="16" t="s">
        <v>93</v>
      </c>
      <c r="G3" s="16" t="s">
        <v>94</v>
      </c>
      <c r="H3" s="16" t="s">
        <v>95</v>
      </c>
      <c r="I3" s="16" t="s">
        <v>96</v>
      </c>
      <c r="J3" s="16" t="s">
        <v>97</v>
      </c>
      <c r="K3" s="16" t="s">
        <v>98</v>
      </c>
      <c r="L3" s="16" t="s">
        <v>99</v>
      </c>
      <c r="M3" s="16" t="s">
        <v>100</v>
      </c>
      <c r="N3" s="16" t="s">
        <v>101</v>
      </c>
      <c r="O3" s="16" t="s">
        <v>102</v>
      </c>
      <c r="P3" s="16" t="s">
        <v>103</v>
      </c>
      <c r="Q3" s="17"/>
    </row>
    <row r="4" spans="2:17" ht="15" x14ac:dyDescent="0.25">
      <c r="B4" s="35"/>
      <c r="C4" s="35"/>
      <c r="D4" s="34"/>
      <c r="E4" s="18">
        <v>1</v>
      </c>
      <c r="F4" s="18">
        <v>2</v>
      </c>
      <c r="G4" s="18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7" t="s">
        <v>10</v>
      </c>
    </row>
    <row r="5" spans="2:17" ht="15" x14ac:dyDescent="0.25">
      <c r="B5" s="19" t="s">
        <v>13</v>
      </c>
      <c r="C5" s="19" t="s">
        <v>14</v>
      </c>
      <c r="D5" s="20" t="s">
        <v>15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17"/>
    </row>
    <row r="6" spans="2:17" ht="15" x14ac:dyDescent="0.25">
      <c r="B6" s="22">
        <v>1</v>
      </c>
      <c r="C6" s="23">
        <v>1261</v>
      </c>
      <c r="D6" s="22" t="s">
        <v>51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5" t="e">
        <f t="shared" ref="Q6:Q36" si="0">AVERAGE(E6:P6)</f>
        <v>#DIV/0!</v>
      </c>
    </row>
    <row r="7" spans="2:17" ht="15" x14ac:dyDescent="0.25">
      <c r="B7" s="22">
        <v>2</v>
      </c>
      <c r="C7" s="23">
        <v>1249</v>
      </c>
      <c r="D7" s="22" t="s">
        <v>52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 t="e">
        <f t="shared" si="0"/>
        <v>#DIV/0!</v>
      </c>
    </row>
    <row r="8" spans="2:17" ht="15" x14ac:dyDescent="0.25">
      <c r="B8" s="22">
        <v>3</v>
      </c>
      <c r="C8" s="23">
        <v>1130</v>
      </c>
      <c r="D8" s="22" t="s">
        <v>53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5" t="e">
        <f t="shared" si="0"/>
        <v>#DIV/0!</v>
      </c>
    </row>
    <row r="9" spans="2:17" ht="15" x14ac:dyDescent="0.25">
      <c r="B9" s="22">
        <v>4</v>
      </c>
      <c r="C9" s="23">
        <v>605</v>
      </c>
      <c r="D9" s="22" t="s">
        <v>54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5" t="e">
        <f t="shared" si="0"/>
        <v>#DIV/0!</v>
      </c>
    </row>
    <row r="10" spans="2:17" ht="15" x14ac:dyDescent="0.25">
      <c r="B10" s="22">
        <v>5</v>
      </c>
      <c r="C10" s="23">
        <v>612</v>
      </c>
      <c r="D10" s="22" t="s">
        <v>55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 t="e">
        <f t="shared" si="0"/>
        <v>#DIV/0!</v>
      </c>
    </row>
    <row r="11" spans="2:17" ht="15" x14ac:dyDescent="0.25">
      <c r="B11" s="22">
        <v>6</v>
      </c>
      <c r="C11" s="23">
        <v>1159</v>
      </c>
      <c r="D11" s="22" t="s">
        <v>56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 t="e">
        <f t="shared" si="0"/>
        <v>#DIV/0!</v>
      </c>
    </row>
    <row r="12" spans="2:17" ht="15" x14ac:dyDescent="0.25">
      <c r="B12" s="22">
        <v>7</v>
      </c>
      <c r="C12" s="23">
        <v>1233</v>
      </c>
      <c r="D12" s="22" t="s">
        <v>57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 t="e">
        <f t="shared" si="0"/>
        <v>#DIV/0!</v>
      </c>
    </row>
    <row r="13" spans="2:17" ht="15" x14ac:dyDescent="0.25">
      <c r="B13" s="22">
        <v>8</v>
      </c>
      <c r="C13" s="23">
        <v>1168</v>
      </c>
      <c r="D13" s="22" t="s">
        <v>58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 t="e">
        <f t="shared" si="0"/>
        <v>#DIV/0!</v>
      </c>
    </row>
    <row r="14" spans="2:17" ht="15" x14ac:dyDescent="0.25">
      <c r="B14" s="22">
        <v>9</v>
      </c>
      <c r="C14" s="23">
        <v>1150</v>
      </c>
      <c r="D14" s="22" t="s">
        <v>59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 t="e">
        <f t="shared" si="0"/>
        <v>#DIV/0!</v>
      </c>
    </row>
    <row r="15" spans="2:17" ht="15" x14ac:dyDescent="0.25">
      <c r="B15" s="22">
        <v>10</v>
      </c>
      <c r="C15" s="23">
        <v>1184</v>
      </c>
      <c r="D15" s="22" t="s">
        <v>60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5" t="e">
        <f t="shared" si="0"/>
        <v>#DIV/0!</v>
      </c>
    </row>
    <row r="16" spans="2:17" ht="15" x14ac:dyDescent="0.25">
      <c r="B16" s="22">
        <v>11</v>
      </c>
      <c r="C16" s="23">
        <v>1270</v>
      </c>
      <c r="D16" s="22" t="s">
        <v>61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 t="e">
        <f t="shared" si="0"/>
        <v>#DIV/0!</v>
      </c>
    </row>
    <row r="17" spans="2:17" ht="15" x14ac:dyDescent="0.25">
      <c r="B17" s="22">
        <v>12</v>
      </c>
      <c r="C17" s="23">
        <v>1199</v>
      </c>
      <c r="D17" s="22" t="s">
        <v>62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 t="e">
        <f t="shared" si="0"/>
        <v>#DIV/0!</v>
      </c>
    </row>
    <row r="18" spans="2:17" ht="15" x14ac:dyDescent="0.25">
      <c r="B18" s="22">
        <v>13</v>
      </c>
      <c r="C18" s="23" t="s">
        <v>28</v>
      </c>
      <c r="D18" s="22" t="s">
        <v>63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 t="e">
        <f t="shared" si="0"/>
        <v>#DIV/0!</v>
      </c>
    </row>
    <row r="19" spans="2:17" ht="15" x14ac:dyDescent="0.25">
      <c r="B19" s="22">
        <v>14</v>
      </c>
      <c r="C19" s="23">
        <v>1246</v>
      </c>
      <c r="D19" s="22" t="s">
        <v>64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 t="e">
        <f t="shared" si="0"/>
        <v>#DIV/0!</v>
      </c>
    </row>
    <row r="20" spans="2:17" ht="15" x14ac:dyDescent="0.25">
      <c r="B20" s="22">
        <v>15</v>
      </c>
      <c r="C20" s="23">
        <v>1156</v>
      </c>
      <c r="D20" s="22" t="s">
        <v>65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 t="e">
        <f t="shared" si="0"/>
        <v>#DIV/0!</v>
      </c>
    </row>
    <row r="21" spans="2:17" ht="15" x14ac:dyDescent="0.25">
      <c r="B21" s="22">
        <v>16</v>
      </c>
      <c r="C21" s="23">
        <v>1187</v>
      </c>
      <c r="D21" s="22" t="s">
        <v>66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 t="e">
        <f t="shared" si="0"/>
        <v>#DIV/0!</v>
      </c>
    </row>
    <row r="22" spans="2:17" ht="15" x14ac:dyDescent="0.25">
      <c r="B22" s="22">
        <v>17</v>
      </c>
      <c r="C22" s="23">
        <v>1202</v>
      </c>
      <c r="D22" s="22" t="s">
        <v>67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 t="e">
        <f t="shared" si="0"/>
        <v>#DIV/0!</v>
      </c>
    </row>
    <row r="23" spans="2:17" ht="15" x14ac:dyDescent="0.25">
      <c r="B23" s="22">
        <v>18</v>
      </c>
      <c r="C23" s="23">
        <v>1147</v>
      </c>
      <c r="D23" s="22" t="s">
        <v>68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 t="e">
        <f t="shared" si="0"/>
        <v>#DIV/0!</v>
      </c>
    </row>
    <row r="24" spans="2:17" ht="15" x14ac:dyDescent="0.25">
      <c r="B24" s="22">
        <v>19</v>
      </c>
      <c r="C24" s="23">
        <v>1193</v>
      </c>
      <c r="D24" s="22" t="s">
        <v>69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 t="e">
        <f t="shared" si="0"/>
        <v>#DIV/0!</v>
      </c>
    </row>
    <row r="25" spans="2:17" ht="15" x14ac:dyDescent="0.25">
      <c r="B25" s="22">
        <v>20</v>
      </c>
      <c r="C25" s="23">
        <v>1209</v>
      </c>
      <c r="D25" s="22" t="s">
        <v>70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 t="e">
        <f t="shared" si="0"/>
        <v>#DIV/0!</v>
      </c>
    </row>
    <row r="26" spans="2:17" ht="15" x14ac:dyDescent="0.25">
      <c r="B26" s="22">
        <v>21</v>
      </c>
      <c r="C26" s="23">
        <v>1153</v>
      </c>
      <c r="D26" s="22" t="s">
        <v>71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5" t="e">
        <f t="shared" si="0"/>
        <v>#DIV/0!</v>
      </c>
    </row>
    <row r="27" spans="2:17" ht="15" x14ac:dyDescent="0.25">
      <c r="B27" s="22">
        <v>22</v>
      </c>
      <c r="C27" s="23">
        <v>1068</v>
      </c>
      <c r="D27" s="22" t="s">
        <v>72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 t="e">
        <f t="shared" si="0"/>
        <v>#DIV/0!</v>
      </c>
    </row>
    <row r="28" spans="2:17" ht="15" x14ac:dyDescent="0.25">
      <c r="B28" s="22">
        <v>23</v>
      </c>
      <c r="C28" s="23">
        <v>1244</v>
      </c>
      <c r="D28" s="22" t="s">
        <v>73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 t="e">
        <f t="shared" si="0"/>
        <v>#DIV/0!</v>
      </c>
    </row>
    <row r="29" spans="2:17" ht="15" x14ac:dyDescent="0.25">
      <c r="B29" s="22">
        <v>24</v>
      </c>
      <c r="C29" s="23">
        <v>719</v>
      </c>
      <c r="D29" s="22" t="s">
        <v>74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 t="e">
        <f t="shared" si="0"/>
        <v>#DIV/0!</v>
      </c>
    </row>
    <row r="30" spans="2:17" ht="15" x14ac:dyDescent="0.25">
      <c r="B30" s="22">
        <v>25</v>
      </c>
      <c r="C30" s="23">
        <v>1259</v>
      </c>
      <c r="D30" s="22" t="s">
        <v>75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 t="e">
        <f t="shared" si="0"/>
        <v>#DIV/0!</v>
      </c>
    </row>
    <row r="31" spans="2:17" ht="15" x14ac:dyDescent="0.25">
      <c r="B31" s="22">
        <v>26</v>
      </c>
      <c r="C31" s="23">
        <v>1267</v>
      </c>
      <c r="D31" s="22" t="s">
        <v>76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 t="e">
        <f t="shared" si="0"/>
        <v>#DIV/0!</v>
      </c>
    </row>
    <row r="32" spans="2:17" ht="15" x14ac:dyDescent="0.25">
      <c r="B32" s="22">
        <v>27</v>
      </c>
      <c r="C32" s="23">
        <v>1206</v>
      </c>
      <c r="D32" s="22" t="s">
        <v>77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 t="e">
        <f t="shared" si="0"/>
        <v>#DIV/0!</v>
      </c>
    </row>
    <row r="33" spans="2:17" ht="15" x14ac:dyDescent="0.25">
      <c r="B33" s="22">
        <v>28</v>
      </c>
      <c r="C33" s="23">
        <v>1144</v>
      </c>
      <c r="D33" s="22" t="s">
        <v>78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 t="e">
        <f t="shared" si="0"/>
        <v>#DIV/0!</v>
      </c>
    </row>
    <row r="34" spans="2:17" ht="15" x14ac:dyDescent="0.25">
      <c r="B34" s="22">
        <v>29</v>
      </c>
      <c r="C34" s="23">
        <v>1137</v>
      </c>
      <c r="D34" s="22" t="s">
        <v>79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 t="e">
        <f t="shared" si="0"/>
        <v>#DIV/0!</v>
      </c>
    </row>
    <row r="35" spans="2:17" ht="15" x14ac:dyDescent="0.25">
      <c r="B35" s="22">
        <v>30</v>
      </c>
      <c r="C35" s="23">
        <v>1216</v>
      </c>
      <c r="D35" s="22" t="s">
        <v>80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 t="e">
        <f t="shared" si="0"/>
        <v>#DIV/0!</v>
      </c>
    </row>
    <row r="36" spans="2:17" ht="15" x14ac:dyDescent="0.25">
      <c r="B36" s="22">
        <v>31</v>
      </c>
      <c r="C36" s="23">
        <v>1254</v>
      </c>
      <c r="D36" s="22" t="s">
        <v>81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 t="e">
        <f t="shared" si="0"/>
        <v>#DIV/0!</v>
      </c>
    </row>
  </sheetData>
  <mergeCells count="4">
    <mergeCell ref="B2:D2"/>
    <mergeCell ref="E2:Q2"/>
    <mergeCell ref="D3:D4"/>
    <mergeCell ref="B3:C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76BA1-4D87-435F-B8C5-D7F6FF554681}">
  <dimension ref="B2:L36"/>
  <sheetViews>
    <sheetView topLeftCell="A3" zoomScale="85" zoomScaleNormal="85" workbookViewId="0">
      <selection activeCell="S31" sqref="S31"/>
    </sheetView>
  </sheetViews>
  <sheetFormatPr defaultColWidth="9.125" defaultRowHeight="14.25" x14ac:dyDescent="0.2"/>
  <cols>
    <col min="1" max="2" width="9.125" style="14"/>
    <col min="3" max="3" width="12.625" style="14" customWidth="1"/>
    <col min="4" max="4" width="40.625" style="14" customWidth="1"/>
    <col min="5" max="7" width="4.5" style="14" bestFit="1" customWidth="1"/>
    <col min="8" max="8" width="5.875" style="14" bestFit="1" customWidth="1"/>
    <col min="9" max="11" width="4.5" style="14" bestFit="1" customWidth="1"/>
    <col min="12" max="12" width="10.25" style="14" customWidth="1"/>
    <col min="13" max="16384" width="9.125" style="14"/>
  </cols>
  <sheetData>
    <row r="2" spans="2:12" ht="15" x14ac:dyDescent="0.25">
      <c r="B2" s="33" t="s">
        <v>0</v>
      </c>
      <c r="C2" s="33"/>
      <c r="D2" s="33"/>
      <c r="E2" s="33" t="s">
        <v>49</v>
      </c>
      <c r="F2" s="33"/>
      <c r="G2" s="33"/>
      <c r="H2" s="33"/>
      <c r="I2" s="33"/>
      <c r="J2" s="33"/>
      <c r="K2" s="33"/>
      <c r="L2" s="33"/>
    </row>
    <row r="3" spans="2:12" ht="174.75" customHeight="1" x14ac:dyDescent="0.2">
      <c r="B3" s="35"/>
      <c r="C3" s="35"/>
      <c r="D3" s="34" t="s">
        <v>85</v>
      </c>
      <c r="E3" s="16" t="s">
        <v>84</v>
      </c>
      <c r="F3" s="16" t="s">
        <v>86</v>
      </c>
      <c r="G3" s="16" t="s">
        <v>87</v>
      </c>
      <c r="H3" s="16" t="s">
        <v>88</v>
      </c>
      <c r="I3" s="16" t="s">
        <v>89</v>
      </c>
      <c r="J3" s="16" t="s">
        <v>90</v>
      </c>
      <c r="K3" s="16" t="s">
        <v>91</v>
      </c>
      <c r="L3" s="17"/>
    </row>
    <row r="4" spans="2:12" ht="15" x14ac:dyDescent="0.25">
      <c r="B4" s="35"/>
      <c r="C4" s="35"/>
      <c r="D4" s="34"/>
      <c r="E4" s="18">
        <v>1</v>
      </c>
      <c r="F4" s="18">
        <v>2</v>
      </c>
      <c r="G4" s="18">
        <v>3</v>
      </c>
      <c r="H4" s="18">
        <v>4</v>
      </c>
      <c r="I4" s="18">
        <v>5</v>
      </c>
      <c r="J4" s="18">
        <v>6</v>
      </c>
      <c r="K4" s="18">
        <v>7</v>
      </c>
      <c r="L4" s="17" t="s">
        <v>10</v>
      </c>
    </row>
    <row r="5" spans="2:12" ht="15" x14ac:dyDescent="0.25">
      <c r="B5" s="19" t="s">
        <v>13</v>
      </c>
      <c r="C5" s="19" t="s">
        <v>14</v>
      </c>
      <c r="D5" s="20" t="s">
        <v>15</v>
      </c>
      <c r="E5" s="21"/>
      <c r="F5" s="21"/>
      <c r="G5" s="21"/>
      <c r="H5" s="21"/>
      <c r="I5" s="21"/>
      <c r="J5" s="21"/>
      <c r="K5" s="21"/>
      <c r="L5" s="17"/>
    </row>
    <row r="6" spans="2:12" ht="15" x14ac:dyDescent="0.25">
      <c r="B6" s="22">
        <v>1</v>
      </c>
      <c r="C6" s="23">
        <v>1261</v>
      </c>
      <c r="D6" s="22" t="s">
        <v>51</v>
      </c>
      <c r="E6" s="24"/>
      <c r="F6" s="24"/>
      <c r="G6" s="24"/>
      <c r="H6" s="24"/>
      <c r="I6" s="24"/>
      <c r="J6" s="24"/>
      <c r="K6" s="24"/>
      <c r="L6" s="25" t="e">
        <f t="shared" ref="L6:L36" si="0">AVERAGE(E6:K6)</f>
        <v>#DIV/0!</v>
      </c>
    </row>
    <row r="7" spans="2:12" ht="15" x14ac:dyDescent="0.25">
      <c r="B7" s="22">
        <v>2</v>
      </c>
      <c r="C7" s="23">
        <v>1249</v>
      </c>
      <c r="D7" s="22" t="s">
        <v>52</v>
      </c>
      <c r="E7" s="24"/>
      <c r="F7" s="24"/>
      <c r="G7" s="24"/>
      <c r="H7" s="24"/>
      <c r="I7" s="24"/>
      <c r="J7" s="24"/>
      <c r="K7" s="24"/>
      <c r="L7" s="25" t="e">
        <f t="shared" si="0"/>
        <v>#DIV/0!</v>
      </c>
    </row>
    <row r="8" spans="2:12" ht="15" x14ac:dyDescent="0.25">
      <c r="B8" s="22">
        <v>3</v>
      </c>
      <c r="C8" s="23">
        <v>1130</v>
      </c>
      <c r="D8" s="22" t="s">
        <v>53</v>
      </c>
      <c r="E8" s="24"/>
      <c r="F8" s="24"/>
      <c r="G8" s="24"/>
      <c r="H8" s="24"/>
      <c r="I8" s="24"/>
      <c r="J8" s="24"/>
      <c r="K8" s="24"/>
      <c r="L8" s="25" t="e">
        <f t="shared" si="0"/>
        <v>#DIV/0!</v>
      </c>
    </row>
    <row r="9" spans="2:12" ht="15" x14ac:dyDescent="0.25">
      <c r="B9" s="22">
        <v>4</v>
      </c>
      <c r="C9" s="23">
        <v>605</v>
      </c>
      <c r="D9" s="22" t="s">
        <v>54</v>
      </c>
      <c r="E9" s="24"/>
      <c r="F9" s="24"/>
      <c r="G9" s="24"/>
      <c r="H9" s="24"/>
      <c r="I9" s="24"/>
      <c r="J9" s="24"/>
      <c r="K9" s="24"/>
      <c r="L9" s="25" t="e">
        <f t="shared" si="0"/>
        <v>#DIV/0!</v>
      </c>
    </row>
    <row r="10" spans="2:12" ht="15" x14ac:dyDescent="0.25">
      <c r="B10" s="22">
        <v>5</v>
      </c>
      <c r="C10" s="23">
        <v>612</v>
      </c>
      <c r="D10" s="22" t="s">
        <v>55</v>
      </c>
      <c r="E10" s="24"/>
      <c r="F10" s="24"/>
      <c r="G10" s="24"/>
      <c r="H10" s="24"/>
      <c r="I10" s="24"/>
      <c r="J10" s="24"/>
      <c r="K10" s="24"/>
      <c r="L10" s="25" t="e">
        <f t="shared" si="0"/>
        <v>#DIV/0!</v>
      </c>
    </row>
    <row r="11" spans="2:12" ht="15" x14ac:dyDescent="0.25">
      <c r="B11" s="22">
        <v>6</v>
      </c>
      <c r="C11" s="23">
        <v>1159</v>
      </c>
      <c r="D11" s="22" t="s">
        <v>56</v>
      </c>
      <c r="E11" s="24"/>
      <c r="F11" s="24"/>
      <c r="G11" s="24"/>
      <c r="H11" s="24"/>
      <c r="I11" s="24"/>
      <c r="J11" s="24"/>
      <c r="K11" s="24"/>
      <c r="L11" s="25" t="e">
        <f t="shared" si="0"/>
        <v>#DIV/0!</v>
      </c>
    </row>
    <row r="12" spans="2:12" ht="15" x14ac:dyDescent="0.25">
      <c r="B12" s="22">
        <v>7</v>
      </c>
      <c r="C12" s="23">
        <v>1233</v>
      </c>
      <c r="D12" s="22" t="s">
        <v>57</v>
      </c>
      <c r="E12" s="24"/>
      <c r="F12" s="24"/>
      <c r="G12" s="24"/>
      <c r="H12" s="24"/>
      <c r="I12" s="24"/>
      <c r="J12" s="24"/>
      <c r="K12" s="24"/>
      <c r="L12" s="25" t="e">
        <f t="shared" si="0"/>
        <v>#DIV/0!</v>
      </c>
    </row>
    <row r="13" spans="2:12" ht="15" x14ac:dyDescent="0.25">
      <c r="B13" s="22">
        <v>8</v>
      </c>
      <c r="C13" s="23">
        <v>1168</v>
      </c>
      <c r="D13" s="22" t="s">
        <v>58</v>
      </c>
      <c r="E13" s="24"/>
      <c r="F13" s="24"/>
      <c r="G13" s="24"/>
      <c r="H13" s="24"/>
      <c r="I13" s="24"/>
      <c r="J13" s="24"/>
      <c r="K13" s="24"/>
      <c r="L13" s="25" t="e">
        <f t="shared" si="0"/>
        <v>#DIV/0!</v>
      </c>
    </row>
    <row r="14" spans="2:12" ht="15" x14ac:dyDescent="0.25">
      <c r="B14" s="22">
        <v>9</v>
      </c>
      <c r="C14" s="23">
        <v>1150</v>
      </c>
      <c r="D14" s="22" t="s">
        <v>59</v>
      </c>
      <c r="E14" s="24"/>
      <c r="F14" s="24"/>
      <c r="G14" s="24"/>
      <c r="H14" s="24"/>
      <c r="I14" s="24"/>
      <c r="J14" s="24"/>
      <c r="K14" s="24"/>
      <c r="L14" s="25" t="e">
        <f t="shared" si="0"/>
        <v>#DIV/0!</v>
      </c>
    </row>
    <row r="15" spans="2:12" ht="15" x14ac:dyDescent="0.25">
      <c r="B15" s="22">
        <v>10</v>
      </c>
      <c r="C15" s="23">
        <v>1184</v>
      </c>
      <c r="D15" s="22" t="s">
        <v>60</v>
      </c>
      <c r="E15" s="24"/>
      <c r="F15" s="24"/>
      <c r="G15" s="24"/>
      <c r="H15" s="24"/>
      <c r="I15" s="24"/>
      <c r="J15" s="24"/>
      <c r="K15" s="24"/>
      <c r="L15" s="25" t="e">
        <f t="shared" si="0"/>
        <v>#DIV/0!</v>
      </c>
    </row>
    <row r="16" spans="2:12" ht="15" x14ac:dyDescent="0.25">
      <c r="B16" s="22">
        <v>11</v>
      </c>
      <c r="C16" s="23">
        <v>1270</v>
      </c>
      <c r="D16" s="22" t="s">
        <v>61</v>
      </c>
      <c r="E16" s="24"/>
      <c r="F16" s="24"/>
      <c r="G16" s="24"/>
      <c r="H16" s="24"/>
      <c r="I16" s="24"/>
      <c r="J16" s="24"/>
      <c r="K16" s="24"/>
      <c r="L16" s="25" t="e">
        <f t="shared" si="0"/>
        <v>#DIV/0!</v>
      </c>
    </row>
    <row r="17" spans="2:12" ht="15" x14ac:dyDescent="0.25">
      <c r="B17" s="22">
        <v>12</v>
      </c>
      <c r="C17" s="23">
        <v>1199</v>
      </c>
      <c r="D17" s="22" t="s">
        <v>62</v>
      </c>
      <c r="E17" s="24"/>
      <c r="F17" s="24"/>
      <c r="G17" s="24"/>
      <c r="H17" s="24"/>
      <c r="I17" s="24"/>
      <c r="J17" s="24"/>
      <c r="K17" s="24"/>
      <c r="L17" s="25" t="e">
        <f t="shared" si="0"/>
        <v>#DIV/0!</v>
      </c>
    </row>
    <row r="18" spans="2:12" ht="15" x14ac:dyDescent="0.25">
      <c r="B18" s="22">
        <v>13</v>
      </c>
      <c r="C18" s="23" t="s">
        <v>28</v>
      </c>
      <c r="D18" s="22" t="s">
        <v>63</v>
      </c>
      <c r="E18" s="24"/>
      <c r="F18" s="24"/>
      <c r="G18" s="24"/>
      <c r="H18" s="24"/>
      <c r="I18" s="24"/>
      <c r="J18" s="24"/>
      <c r="K18" s="24"/>
      <c r="L18" s="25" t="e">
        <f t="shared" si="0"/>
        <v>#DIV/0!</v>
      </c>
    </row>
    <row r="19" spans="2:12" ht="15" x14ac:dyDescent="0.25">
      <c r="B19" s="22">
        <v>14</v>
      </c>
      <c r="C19" s="23">
        <v>1246</v>
      </c>
      <c r="D19" s="22" t="s">
        <v>64</v>
      </c>
      <c r="E19" s="24"/>
      <c r="F19" s="24"/>
      <c r="G19" s="24"/>
      <c r="H19" s="24"/>
      <c r="I19" s="24"/>
      <c r="J19" s="24"/>
      <c r="K19" s="24"/>
      <c r="L19" s="25" t="e">
        <f t="shared" si="0"/>
        <v>#DIV/0!</v>
      </c>
    </row>
    <row r="20" spans="2:12" ht="15" x14ac:dyDescent="0.25">
      <c r="B20" s="22">
        <v>15</v>
      </c>
      <c r="C20" s="23">
        <v>1156</v>
      </c>
      <c r="D20" s="22" t="s">
        <v>65</v>
      </c>
      <c r="E20" s="24"/>
      <c r="F20" s="24"/>
      <c r="G20" s="24"/>
      <c r="H20" s="24"/>
      <c r="I20" s="24"/>
      <c r="J20" s="24"/>
      <c r="K20" s="24"/>
      <c r="L20" s="25" t="e">
        <f t="shared" si="0"/>
        <v>#DIV/0!</v>
      </c>
    </row>
    <row r="21" spans="2:12" ht="15" x14ac:dyDescent="0.25">
      <c r="B21" s="22">
        <v>16</v>
      </c>
      <c r="C21" s="23">
        <v>1187</v>
      </c>
      <c r="D21" s="22" t="s">
        <v>66</v>
      </c>
      <c r="E21" s="24"/>
      <c r="F21" s="24"/>
      <c r="G21" s="24"/>
      <c r="H21" s="24"/>
      <c r="I21" s="24"/>
      <c r="J21" s="24"/>
      <c r="K21" s="24"/>
      <c r="L21" s="25" t="e">
        <f t="shared" si="0"/>
        <v>#DIV/0!</v>
      </c>
    </row>
    <row r="22" spans="2:12" ht="15" x14ac:dyDescent="0.25">
      <c r="B22" s="22">
        <v>17</v>
      </c>
      <c r="C22" s="23">
        <v>1202</v>
      </c>
      <c r="D22" s="22" t="s">
        <v>67</v>
      </c>
      <c r="E22" s="24"/>
      <c r="F22" s="24"/>
      <c r="G22" s="24"/>
      <c r="H22" s="24"/>
      <c r="I22" s="24"/>
      <c r="J22" s="24"/>
      <c r="K22" s="24"/>
      <c r="L22" s="25" t="e">
        <f t="shared" si="0"/>
        <v>#DIV/0!</v>
      </c>
    </row>
    <row r="23" spans="2:12" ht="15" x14ac:dyDescent="0.25">
      <c r="B23" s="22">
        <v>18</v>
      </c>
      <c r="C23" s="23">
        <v>1147</v>
      </c>
      <c r="D23" s="22" t="s">
        <v>68</v>
      </c>
      <c r="E23" s="24"/>
      <c r="F23" s="24"/>
      <c r="G23" s="24"/>
      <c r="H23" s="24"/>
      <c r="I23" s="24"/>
      <c r="J23" s="24"/>
      <c r="K23" s="24"/>
      <c r="L23" s="25" t="e">
        <f t="shared" si="0"/>
        <v>#DIV/0!</v>
      </c>
    </row>
    <row r="24" spans="2:12" ht="15" x14ac:dyDescent="0.25">
      <c r="B24" s="22">
        <v>19</v>
      </c>
      <c r="C24" s="23">
        <v>1193</v>
      </c>
      <c r="D24" s="22" t="s">
        <v>69</v>
      </c>
      <c r="E24" s="24"/>
      <c r="F24" s="24"/>
      <c r="G24" s="24"/>
      <c r="H24" s="24"/>
      <c r="I24" s="24"/>
      <c r="J24" s="24"/>
      <c r="K24" s="24"/>
      <c r="L24" s="25" t="e">
        <f t="shared" si="0"/>
        <v>#DIV/0!</v>
      </c>
    </row>
    <row r="25" spans="2:12" ht="15" x14ac:dyDescent="0.25">
      <c r="B25" s="22">
        <v>20</v>
      </c>
      <c r="C25" s="23">
        <v>1209</v>
      </c>
      <c r="D25" s="22" t="s">
        <v>70</v>
      </c>
      <c r="E25" s="24"/>
      <c r="F25" s="24"/>
      <c r="G25" s="24"/>
      <c r="H25" s="24"/>
      <c r="I25" s="24"/>
      <c r="J25" s="24"/>
      <c r="K25" s="24"/>
      <c r="L25" s="25" t="e">
        <f t="shared" si="0"/>
        <v>#DIV/0!</v>
      </c>
    </row>
    <row r="26" spans="2:12" ht="15" x14ac:dyDescent="0.25">
      <c r="B26" s="22">
        <v>21</v>
      </c>
      <c r="C26" s="23">
        <v>1153</v>
      </c>
      <c r="D26" s="22" t="s">
        <v>71</v>
      </c>
      <c r="E26" s="24"/>
      <c r="F26" s="24"/>
      <c r="G26" s="24"/>
      <c r="H26" s="24"/>
      <c r="I26" s="24"/>
      <c r="J26" s="24"/>
      <c r="K26" s="24"/>
      <c r="L26" s="25" t="e">
        <f t="shared" si="0"/>
        <v>#DIV/0!</v>
      </c>
    </row>
    <row r="27" spans="2:12" ht="15" x14ac:dyDescent="0.25">
      <c r="B27" s="22">
        <v>22</v>
      </c>
      <c r="C27" s="23">
        <v>1068</v>
      </c>
      <c r="D27" s="22" t="s">
        <v>72</v>
      </c>
      <c r="E27" s="24"/>
      <c r="F27" s="24"/>
      <c r="G27" s="24"/>
      <c r="H27" s="24"/>
      <c r="I27" s="24"/>
      <c r="J27" s="24"/>
      <c r="K27" s="24"/>
      <c r="L27" s="25" t="e">
        <f t="shared" si="0"/>
        <v>#DIV/0!</v>
      </c>
    </row>
    <row r="28" spans="2:12" ht="15" x14ac:dyDescent="0.25">
      <c r="B28" s="22">
        <v>23</v>
      </c>
      <c r="C28" s="23">
        <v>1244</v>
      </c>
      <c r="D28" s="22" t="s">
        <v>73</v>
      </c>
      <c r="E28" s="24"/>
      <c r="F28" s="24"/>
      <c r="G28" s="24"/>
      <c r="H28" s="24"/>
      <c r="I28" s="24"/>
      <c r="J28" s="24"/>
      <c r="K28" s="24"/>
      <c r="L28" s="25" t="e">
        <f t="shared" si="0"/>
        <v>#DIV/0!</v>
      </c>
    </row>
    <row r="29" spans="2:12" ht="15" x14ac:dyDescent="0.25">
      <c r="B29" s="22">
        <v>24</v>
      </c>
      <c r="C29" s="23">
        <v>719</v>
      </c>
      <c r="D29" s="22" t="s">
        <v>74</v>
      </c>
      <c r="E29" s="24"/>
      <c r="F29" s="24"/>
      <c r="G29" s="24"/>
      <c r="H29" s="24"/>
      <c r="I29" s="24"/>
      <c r="J29" s="24"/>
      <c r="K29" s="24"/>
      <c r="L29" s="25" t="e">
        <f t="shared" si="0"/>
        <v>#DIV/0!</v>
      </c>
    </row>
    <row r="30" spans="2:12" ht="15" x14ac:dyDescent="0.25">
      <c r="B30" s="22">
        <v>25</v>
      </c>
      <c r="C30" s="23">
        <v>1259</v>
      </c>
      <c r="D30" s="22" t="s">
        <v>75</v>
      </c>
      <c r="E30" s="24"/>
      <c r="F30" s="24"/>
      <c r="G30" s="24"/>
      <c r="H30" s="24"/>
      <c r="I30" s="24"/>
      <c r="J30" s="24"/>
      <c r="K30" s="24"/>
      <c r="L30" s="25" t="e">
        <f t="shared" si="0"/>
        <v>#DIV/0!</v>
      </c>
    </row>
    <row r="31" spans="2:12" ht="15" x14ac:dyDescent="0.25">
      <c r="B31" s="22">
        <v>26</v>
      </c>
      <c r="C31" s="23">
        <v>1267</v>
      </c>
      <c r="D31" s="22" t="s">
        <v>76</v>
      </c>
      <c r="E31" s="24"/>
      <c r="F31" s="24"/>
      <c r="G31" s="24"/>
      <c r="H31" s="24"/>
      <c r="I31" s="24"/>
      <c r="J31" s="24"/>
      <c r="K31" s="24"/>
      <c r="L31" s="25" t="e">
        <f t="shared" si="0"/>
        <v>#DIV/0!</v>
      </c>
    </row>
    <row r="32" spans="2:12" ht="15" x14ac:dyDescent="0.25">
      <c r="B32" s="22">
        <v>27</v>
      </c>
      <c r="C32" s="23">
        <v>1206</v>
      </c>
      <c r="D32" s="22" t="s">
        <v>77</v>
      </c>
      <c r="E32" s="24"/>
      <c r="F32" s="24"/>
      <c r="G32" s="24"/>
      <c r="H32" s="24"/>
      <c r="I32" s="24"/>
      <c r="J32" s="24"/>
      <c r="K32" s="24"/>
      <c r="L32" s="25" t="e">
        <f t="shared" si="0"/>
        <v>#DIV/0!</v>
      </c>
    </row>
    <row r="33" spans="2:12" ht="15" x14ac:dyDescent="0.25">
      <c r="B33" s="22">
        <v>28</v>
      </c>
      <c r="C33" s="23">
        <v>1144</v>
      </c>
      <c r="D33" s="22" t="s">
        <v>78</v>
      </c>
      <c r="E33" s="24"/>
      <c r="F33" s="24"/>
      <c r="G33" s="24"/>
      <c r="H33" s="24"/>
      <c r="I33" s="24"/>
      <c r="J33" s="24"/>
      <c r="K33" s="24"/>
      <c r="L33" s="25" t="e">
        <f t="shared" si="0"/>
        <v>#DIV/0!</v>
      </c>
    </row>
    <row r="34" spans="2:12" ht="15" x14ac:dyDescent="0.25">
      <c r="B34" s="22">
        <v>29</v>
      </c>
      <c r="C34" s="23">
        <v>1137</v>
      </c>
      <c r="D34" s="22" t="s">
        <v>79</v>
      </c>
      <c r="E34" s="24"/>
      <c r="F34" s="24"/>
      <c r="G34" s="24"/>
      <c r="H34" s="24"/>
      <c r="I34" s="24"/>
      <c r="J34" s="24"/>
      <c r="K34" s="24"/>
      <c r="L34" s="25" t="e">
        <f t="shared" si="0"/>
        <v>#DIV/0!</v>
      </c>
    </row>
    <row r="35" spans="2:12" ht="15" x14ac:dyDescent="0.25">
      <c r="B35" s="22">
        <v>30</v>
      </c>
      <c r="C35" s="23">
        <v>1216</v>
      </c>
      <c r="D35" s="22" t="s">
        <v>80</v>
      </c>
      <c r="E35" s="24"/>
      <c r="F35" s="24"/>
      <c r="G35" s="24"/>
      <c r="H35" s="24"/>
      <c r="I35" s="24"/>
      <c r="J35" s="24"/>
      <c r="K35" s="24"/>
      <c r="L35" s="25" t="e">
        <f t="shared" si="0"/>
        <v>#DIV/0!</v>
      </c>
    </row>
    <row r="36" spans="2:12" ht="15" x14ac:dyDescent="0.25">
      <c r="B36" s="22">
        <v>31</v>
      </c>
      <c r="C36" s="23">
        <v>1254</v>
      </c>
      <c r="D36" s="22" t="s">
        <v>81</v>
      </c>
      <c r="E36" s="24"/>
      <c r="F36" s="24"/>
      <c r="G36" s="24"/>
      <c r="H36" s="24"/>
      <c r="I36" s="24"/>
      <c r="J36" s="24"/>
      <c r="K36" s="24"/>
      <c r="L36" s="25" t="e">
        <f t="shared" si="0"/>
        <v>#DIV/0!</v>
      </c>
    </row>
  </sheetData>
  <mergeCells count="4">
    <mergeCell ref="B2:D2"/>
    <mergeCell ref="E2:L2"/>
    <mergeCell ref="B3:C4"/>
    <mergeCell ref="D3:D4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A1071-71D7-4BC3-AAFC-36C69F23409A}">
  <dimension ref="B2:AG36"/>
  <sheetViews>
    <sheetView topLeftCell="A3" zoomScale="85" zoomScaleNormal="85" workbookViewId="0">
      <selection activeCell="AM19" sqref="AM19"/>
    </sheetView>
  </sheetViews>
  <sheetFormatPr defaultColWidth="9.125" defaultRowHeight="14.25" x14ac:dyDescent="0.2"/>
  <cols>
    <col min="1" max="2" width="9.125" style="14"/>
    <col min="3" max="3" width="12.625" style="14" customWidth="1"/>
    <col min="4" max="4" width="40.625" style="14" customWidth="1"/>
    <col min="5" max="9" width="4.5" style="14" bestFit="1" customWidth="1"/>
    <col min="10" max="16" width="4.5" style="14" customWidth="1"/>
    <col min="17" max="29" width="4.5" style="14" bestFit="1" customWidth="1"/>
    <col min="30" max="32" width="4.5" style="14" customWidth="1"/>
    <col min="33" max="33" width="10.25" style="14" customWidth="1"/>
    <col min="34" max="16384" width="9.125" style="14"/>
  </cols>
  <sheetData>
    <row r="2" spans="2:33" ht="15" x14ac:dyDescent="0.25">
      <c r="B2" s="33" t="s">
        <v>0</v>
      </c>
      <c r="C2" s="33"/>
      <c r="D2" s="33"/>
      <c r="E2" s="33" t="s">
        <v>49</v>
      </c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</row>
    <row r="3" spans="2:33" ht="174.75" customHeight="1" x14ac:dyDescent="0.2">
      <c r="B3" s="35"/>
      <c r="C3" s="35"/>
      <c r="D3" s="15" t="s">
        <v>82</v>
      </c>
      <c r="E3" s="36" t="s">
        <v>84</v>
      </c>
      <c r="F3" s="37"/>
      <c r="G3" s="38"/>
      <c r="H3" s="36" t="s">
        <v>86</v>
      </c>
      <c r="I3" s="38"/>
      <c r="J3" s="36" t="s">
        <v>87</v>
      </c>
      <c r="K3" s="37"/>
      <c r="L3" s="37"/>
      <c r="M3" s="37"/>
      <c r="N3" s="37"/>
      <c r="O3" s="37"/>
      <c r="P3" s="38"/>
      <c r="Q3" s="36" t="s">
        <v>88</v>
      </c>
      <c r="R3" s="37"/>
      <c r="S3" s="37"/>
      <c r="T3" s="38"/>
      <c r="U3" s="36" t="s">
        <v>89</v>
      </c>
      <c r="V3" s="37"/>
      <c r="W3" s="38"/>
      <c r="X3" s="36" t="s">
        <v>90</v>
      </c>
      <c r="Y3" s="38"/>
      <c r="Z3" s="36" t="s">
        <v>91</v>
      </c>
      <c r="AA3" s="37"/>
      <c r="AB3" s="37"/>
      <c r="AC3" s="37"/>
      <c r="AD3" s="37"/>
      <c r="AE3" s="37"/>
      <c r="AF3" s="38"/>
      <c r="AG3" s="17"/>
    </row>
    <row r="4" spans="2:33" ht="15" x14ac:dyDescent="0.25">
      <c r="B4" s="35"/>
      <c r="C4" s="35"/>
      <c r="D4" s="15" t="s">
        <v>83</v>
      </c>
      <c r="E4" s="18">
        <v>4</v>
      </c>
      <c r="F4" s="18">
        <v>5</v>
      </c>
      <c r="G4" s="18">
        <v>6</v>
      </c>
      <c r="H4" s="18">
        <v>7</v>
      </c>
      <c r="I4" s="18">
        <v>8</v>
      </c>
      <c r="J4" s="18">
        <v>9</v>
      </c>
      <c r="K4" s="18">
        <v>10</v>
      </c>
      <c r="L4" s="18">
        <v>11</v>
      </c>
      <c r="M4" s="18">
        <v>12</v>
      </c>
      <c r="N4" s="18">
        <v>13</v>
      </c>
      <c r="O4" s="18">
        <v>14</v>
      </c>
      <c r="P4" s="18">
        <v>15</v>
      </c>
      <c r="Q4" s="18">
        <v>16</v>
      </c>
      <c r="R4" s="18">
        <v>17</v>
      </c>
      <c r="S4" s="18">
        <v>18</v>
      </c>
      <c r="T4" s="18">
        <v>19</v>
      </c>
      <c r="U4" s="18">
        <v>20</v>
      </c>
      <c r="V4" s="18">
        <v>21</v>
      </c>
      <c r="W4" s="18">
        <v>22</v>
      </c>
      <c r="X4" s="18">
        <v>23</v>
      </c>
      <c r="Y4" s="18">
        <v>24</v>
      </c>
      <c r="Z4" s="18">
        <v>25</v>
      </c>
      <c r="AA4" s="18">
        <v>26</v>
      </c>
      <c r="AB4" s="18">
        <v>27</v>
      </c>
      <c r="AC4" s="18">
        <v>28</v>
      </c>
      <c r="AD4" s="18">
        <v>29</v>
      </c>
      <c r="AE4" s="18">
        <v>30</v>
      </c>
      <c r="AF4" s="18">
        <v>31</v>
      </c>
      <c r="AG4" s="15" t="s">
        <v>10</v>
      </c>
    </row>
    <row r="5" spans="2:33" ht="15" x14ac:dyDescent="0.25">
      <c r="B5" s="19" t="s">
        <v>13</v>
      </c>
      <c r="C5" s="19" t="s">
        <v>14</v>
      </c>
      <c r="D5" s="20" t="s">
        <v>15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17"/>
    </row>
    <row r="6" spans="2:33" ht="15" x14ac:dyDescent="0.25">
      <c r="B6" s="22">
        <v>1</v>
      </c>
      <c r="C6" s="23">
        <v>1261</v>
      </c>
      <c r="D6" s="22" t="s">
        <v>51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5" t="e">
        <f t="shared" ref="AG6:AG36" si="0">AVERAGE(E6:AC6)</f>
        <v>#DIV/0!</v>
      </c>
    </row>
    <row r="7" spans="2:33" ht="15" x14ac:dyDescent="0.25">
      <c r="B7" s="22">
        <v>2</v>
      </c>
      <c r="C7" s="23">
        <v>1249</v>
      </c>
      <c r="D7" s="22" t="s">
        <v>52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5" t="e">
        <f t="shared" si="0"/>
        <v>#DIV/0!</v>
      </c>
    </row>
    <row r="8" spans="2:33" ht="15" x14ac:dyDescent="0.25">
      <c r="B8" s="22">
        <v>3</v>
      </c>
      <c r="C8" s="23">
        <v>1130</v>
      </c>
      <c r="D8" s="22" t="s">
        <v>53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5" t="e">
        <f t="shared" si="0"/>
        <v>#DIV/0!</v>
      </c>
    </row>
    <row r="9" spans="2:33" ht="15" x14ac:dyDescent="0.25">
      <c r="B9" s="22">
        <v>4</v>
      </c>
      <c r="C9" s="23">
        <v>605</v>
      </c>
      <c r="D9" s="22" t="s">
        <v>54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5" t="e">
        <f t="shared" si="0"/>
        <v>#DIV/0!</v>
      </c>
    </row>
    <row r="10" spans="2:33" ht="15" x14ac:dyDescent="0.25">
      <c r="B10" s="22">
        <v>5</v>
      </c>
      <c r="C10" s="23">
        <v>612</v>
      </c>
      <c r="D10" s="22" t="s">
        <v>55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5" t="e">
        <f t="shared" si="0"/>
        <v>#DIV/0!</v>
      </c>
    </row>
    <row r="11" spans="2:33" ht="15" x14ac:dyDescent="0.25">
      <c r="B11" s="22">
        <v>6</v>
      </c>
      <c r="C11" s="23">
        <v>1159</v>
      </c>
      <c r="D11" s="22" t="s">
        <v>56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5" t="e">
        <f t="shared" si="0"/>
        <v>#DIV/0!</v>
      </c>
    </row>
    <row r="12" spans="2:33" ht="15" x14ac:dyDescent="0.25">
      <c r="B12" s="22">
        <v>7</v>
      </c>
      <c r="C12" s="23">
        <v>1233</v>
      </c>
      <c r="D12" s="22" t="s">
        <v>57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5" t="e">
        <f t="shared" si="0"/>
        <v>#DIV/0!</v>
      </c>
    </row>
    <row r="13" spans="2:33" ht="15" x14ac:dyDescent="0.25">
      <c r="B13" s="22">
        <v>8</v>
      </c>
      <c r="C13" s="23">
        <v>1168</v>
      </c>
      <c r="D13" s="22" t="s">
        <v>58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5" t="e">
        <f t="shared" si="0"/>
        <v>#DIV/0!</v>
      </c>
    </row>
    <row r="14" spans="2:33" ht="15" x14ac:dyDescent="0.25">
      <c r="B14" s="22">
        <v>9</v>
      </c>
      <c r="C14" s="23">
        <v>1150</v>
      </c>
      <c r="D14" s="22" t="s">
        <v>59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5" t="e">
        <f t="shared" si="0"/>
        <v>#DIV/0!</v>
      </c>
    </row>
    <row r="15" spans="2:33" ht="15" x14ac:dyDescent="0.25">
      <c r="B15" s="22">
        <v>10</v>
      </c>
      <c r="C15" s="23">
        <v>1184</v>
      </c>
      <c r="D15" s="22" t="s">
        <v>60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5" t="e">
        <f t="shared" si="0"/>
        <v>#DIV/0!</v>
      </c>
    </row>
    <row r="16" spans="2:33" ht="15" x14ac:dyDescent="0.25">
      <c r="B16" s="22">
        <v>11</v>
      </c>
      <c r="C16" s="23">
        <v>1270</v>
      </c>
      <c r="D16" s="22" t="s">
        <v>61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5" t="e">
        <f t="shared" si="0"/>
        <v>#DIV/0!</v>
      </c>
    </row>
    <row r="17" spans="2:33" ht="15" x14ac:dyDescent="0.25">
      <c r="B17" s="22">
        <v>12</v>
      </c>
      <c r="C17" s="23">
        <v>1199</v>
      </c>
      <c r="D17" s="22" t="s">
        <v>62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5" t="e">
        <f t="shared" si="0"/>
        <v>#DIV/0!</v>
      </c>
    </row>
    <row r="18" spans="2:33" ht="15" x14ac:dyDescent="0.25">
      <c r="B18" s="22">
        <v>13</v>
      </c>
      <c r="C18" s="23" t="s">
        <v>28</v>
      </c>
      <c r="D18" s="22" t="s">
        <v>63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5" t="e">
        <f t="shared" si="0"/>
        <v>#DIV/0!</v>
      </c>
    </row>
    <row r="19" spans="2:33" ht="15" x14ac:dyDescent="0.25">
      <c r="B19" s="22">
        <v>14</v>
      </c>
      <c r="C19" s="23">
        <v>1246</v>
      </c>
      <c r="D19" s="22" t="s">
        <v>64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5" t="e">
        <f t="shared" si="0"/>
        <v>#DIV/0!</v>
      </c>
    </row>
    <row r="20" spans="2:33" ht="15" x14ac:dyDescent="0.25">
      <c r="B20" s="22">
        <v>15</v>
      </c>
      <c r="C20" s="23">
        <v>1156</v>
      </c>
      <c r="D20" s="22" t="s">
        <v>65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5" t="e">
        <f t="shared" si="0"/>
        <v>#DIV/0!</v>
      </c>
    </row>
    <row r="21" spans="2:33" ht="15" x14ac:dyDescent="0.25">
      <c r="B21" s="22">
        <v>16</v>
      </c>
      <c r="C21" s="23">
        <v>1187</v>
      </c>
      <c r="D21" s="22" t="s">
        <v>66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5" t="e">
        <f t="shared" si="0"/>
        <v>#DIV/0!</v>
      </c>
    </row>
    <row r="22" spans="2:33" ht="15" x14ac:dyDescent="0.25">
      <c r="B22" s="22">
        <v>17</v>
      </c>
      <c r="C22" s="23">
        <v>1202</v>
      </c>
      <c r="D22" s="22" t="s">
        <v>67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5" t="e">
        <f t="shared" si="0"/>
        <v>#DIV/0!</v>
      </c>
    </row>
    <row r="23" spans="2:33" ht="15" x14ac:dyDescent="0.25">
      <c r="B23" s="22">
        <v>18</v>
      </c>
      <c r="C23" s="23">
        <v>1147</v>
      </c>
      <c r="D23" s="22" t="s">
        <v>68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5" t="e">
        <f t="shared" si="0"/>
        <v>#DIV/0!</v>
      </c>
    </row>
    <row r="24" spans="2:33" ht="15" x14ac:dyDescent="0.25">
      <c r="B24" s="22">
        <v>19</v>
      </c>
      <c r="C24" s="23">
        <v>1193</v>
      </c>
      <c r="D24" s="22" t="s">
        <v>69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5" t="e">
        <f t="shared" si="0"/>
        <v>#DIV/0!</v>
      </c>
    </row>
    <row r="25" spans="2:33" ht="15" x14ac:dyDescent="0.25">
      <c r="B25" s="22">
        <v>20</v>
      </c>
      <c r="C25" s="23">
        <v>1209</v>
      </c>
      <c r="D25" s="22" t="s">
        <v>70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5" t="e">
        <f t="shared" si="0"/>
        <v>#DIV/0!</v>
      </c>
    </row>
    <row r="26" spans="2:33" ht="15" x14ac:dyDescent="0.25">
      <c r="B26" s="22">
        <v>21</v>
      </c>
      <c r="C26" s="23">
        <v>1153</v>
      </c>
      <c r="D26" s="22" t="s">
        <v>71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5" t="e">
        <f t="shared" si="0"/>
        <v>#DIV/0!</v>
      </c>
    </row>
    <row r="27" spans="2:33" ht="15" x14ac:dyDescent="0.25">
      <c r="B27" s="22">
        <v>22</v>
      </c>
      <c r="C27" s="23">
        <v>1068</v>
      </c>
      <c r="D27" s="22" t="s">
        <v>72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5" t="e">
        <f t="shared" si="0"/>
        <v>#DIV/0!</v>
      </c>
    </row>
    <row r="28" spans="2:33" ht="15" x14ac:dyDescent="0.25">
      <c r="B28" s="22">
        <v>23</v>
      </c>
      <c r="C28" s="23">
        <v>1244</v>
      </c>
      <c r="D28" s="22" t="s">
        <v>73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5" t="e">
        <f t="shared" si="0"/>
        <v>#DIV/0!</v>
      </c>
    </row>
    <row r="29" spans="2:33" ht="15" x14ac:dyDescent="0.25">
      <c r="B29" s="22">
        <v>24</v>
      </c>
      <c r="C29" s="23">
        <v>719</v>
      </c>
      <c r="D29" s="22" t="s">
        <v>74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5" t="e">
        <f t="shared" si="0"/>
        <v>#DIV/0!</v>
      </c>
    </row>
    <row r="30" spans="2:33" ht="15" x14ac:dyDescent="0.25">
      <c r="B30" s="22">
        <v>25</v>
      </c>
      <c r="C30" s="23">
        <v>1259</v>
      </c>
      <c r="D30" s="22" t="s">
        <v>75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5" t="e">
        <f t="shared" si="0"/>
        <v>#DIV/0!</v>
      </c>
    </row>
    <row r="31" spans="2:33" ht="15" x14ac:dyDescent="0.25">
      <c r="B31" s="22">
        <v>26</v>
      </c>
      <c r="C31" s="23">
        <v>1267</v>
      </c>
      <c r="D31" s="22" t="s">
        <v>76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5" t="e">
        <f t="shared" si="0"/>
        <v>#DIV/0!</v>
      </c>
    </row>
    <row r="32" spans="2:33" ht="15" x14ac:dyDescent="0.25">
      <c r="B32" s="22">
        <v>27</v>
      </c>
      <c r="C32" s="23">
        <v>1206</v>
      </c>
      <c r="D32" s="22" t="s">
        <v>77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5" t="e">
        <f t="shared" si="0"/>
        <v>#DIV/0!</v>
      </c>
    </row>
    <row r="33" spans="2:33" ht="15" x14ac:dyDescent="0.25">
      <c r="B33" s="22">
        <v>28</v>
      </c>
      <c r="C33" s="23">
        <v>1144</v>
      </c>
      <c r="D33" s="22" t="s">
        <v>78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5" t="e">
        <f t="shared" si="0"/>
        <v>#DIV/0!</v>
      </c>
    </row>
    <row r="34" spans="2:33" ht="15" x14ac:dyDescent="0.25">
      <c r="B34" s="22">
        <v>29</v>
      </c>
      <c r="C34" s="23">
        <v>1137</v>
      </c>
      <c r="D34" s="22" t="s">
        <v>79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5" t="e">
        <f t="shared" si="0"/>
        <v>#DIV/0!</v>
      </c>
    </row>
    <row r="35" spans="2:33" ht="15" x14ac:dyDescent="0.25">
      <c r="B35" s="22">
        <v>30</v>
      </c>
      <c r="C35" s="23">
        <v>1216</v>
      </c>
      <c r="D35" s="22" t="s">
        <v>80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5" t="e">
        <f t="shared" si="0"/>
        <v>#DIV/0!</v>
      </c>
    </row>
    <row r="36" spans="2:33" ht="15" x14ac:dyDescent="0.25">
      <c r="B36" s="22">
        <v>31</v>
      </c>
      <c r="C36" s="23">
        <v>1254</v>
      </c>
      <c r="D36" s="22" t="s">
        <v>81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5" t="e">
        <f t="shared" si="0"/>
        <v>#DIV/0!</v>
      </c>
    </row>
  </sheetData>
  <mergeCells count="10">
    <mergeCell ref="Z3:AF3"/>
    <mergeCell ref="B2:D2"/>
    <mergeCell ref="E2:AG2"/>
    <mergeCell ref="B3:C4"/>
    <mergeCell ref="E3:G3"/>
    <mergeCell ref="H3:I3"/>
    <mergeCell ref="J3:P3"/>
    <mergeCell ref="Q3:T3"/>
    <mergeCell ref="U3:W3"/>
    <mergeCell ref="X3:Y3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7AED-2044-4195-AD3A-B87FC1422FB6}">
  <dimension ref="B2:M36"/>
  <sheetViews>
    <sheetView tabSelected="1" zoomScale="85" zoomScaleNormal="85" workbookViewId="0">
      <selection activeCell="Q3" sqref="Q3"/>
    </sheetView>
  </sheetViews>
  <sheetFormatPr defaultColWidth="9.125" defaultRowHeight="14.25" x14ac:dyDescent="0.2"/>
  <cols>
    <col min="1" max="2" width="9.125" style="14"/>
    <col min="3" max="3" width="12.625" style="14" customWidth="1"/>
    <col min="4" max="4" width="40.625" style="14" customWidth="1"/>
    <col min="5" max="5" width="5.875" style="14" bestFit="1" customWidth="1"/>
    <col min="6" max="8" width="4.5" style="14" bestFit="1" customWidth="1"/>
    <col min="9" max="9" width="5.875" style="14" bestFit="1" customWidth="1"/>
    <col min="10" max="12" width="4.5" style="14" customWidth="1"/>
    <col min="13" max="13" width="10.25" style="14" customWidth="1"/>
    <col min="14" max="16384" width="9.125" style="14"/>
  </cols>
  <sheetData>
    <row r="2" spans="2:13" ht="15" x14ac:dyDescent="0.25">
      <c r="B2" s="33" t="s">
        <v>0</v>
      </c>
      <c r="C2" s="33"/>
      <c r="D2" s="33"/>
      <c r="E2" s="33" t="s">
        <v>49</v>
      </c>
      <c r="F2" s="33"/>
      <c r="G2" s="33"/>
      <c r="H2" s="33"/>
      <c r="I2" s="33"/>
      <c r="J2" s="33"/>
      <c r="K2" s="33"/>
      <c r="L2" s="33"/>
      <c r="M2" s="33"/>
    </row>
    <row r="3" spans="2:13" ht="174.75" customHeight="1" x14ac:dyDescent="0.2">
      <c r="B3" s="35"/>
      <c r="C3" s="35"/>
      <c r="D3" s="26" t="s">
        <v>82</v>
      </c>
      <c r="E3" s="16" t="s">
        <v>104</v>
      </c>
      <c r="F3" s="16" t="s">
        <v>105</v>
      </c>
      <c r="G3" s="28" t="s">
        <v>106</v>
      </c>
      <c r="H3" s="27" t="s">
        <v>107</v>
      </c>
      <c r="I3" s="16" t="s">
        <v>108</v>
      </c>
      <c r="J3" s="16" t="s">
        <v>99</v>
      </c>
      <c r="K3" s="16" t="s">
        <v>109</v>
      </c>
      <c r="L3" s="16" t="s">
        <v>110</v>
      </c>
      <c r="M3" s="17"/>
    </row>
    <row r="4" spans="2:13" ht="15" x14ac:dyDescent="0.25">
      <c r="B4" s="35"/>
      <c r="C4" s="35"/>
      <c r="D4" s="26" t="s">
        <v>83</v>
      </c>
      <c r="E4" s="18">
        <v>119</v>
      </c>
      <c r="F4" s="18">
        <v>123</v>
      </c>
      <c r="G4" s="18">
        <v>125</v>
      </c>
      <c r="H4" s="18">
        <v>127</v>
      </c>
      <c r="I4" s="18">
        <v>135</v>
      </c>
      <c r="J4" s="18">
        <v>137</v>
      </c>
      <c r="K4" s="18">
        <v>139</v>
      </c>
      <c r="L4" s="18">
        <v>141</v>
      </c>
      <c r="M4" s="26" t="s">
        <v>10</v>
      </c>
    </row>
    <row r="5" spans="2:13" ht="15" x14ac:dyDescent="0.25">
      <c r="B5" s="19" t="s">
        <v>13</v>
      </c>
      <c r="C5" s="19" t="s">
        <v>14</v>
      </c>
      <c r="D5" s="20" t="s">
        <v>15</v>
      </c>
      <c r="E5" s="21"/>
      <c r="F5" s="21"/>
      <c r="G5" s="21"/>
      <c r="H5" s="21"/>
      <c r="I5" s="21"/>
      <c r="J5" s="21"/>
      <c r="K5" s="21"/>
      <c r="L5" s="21"/>
      <c r="M5" s="17"/>
    </row>
    <row r="6" spans="2:13" ht="15" x14ac:dyDescent="0.25">
      <c r="B6" s="22">
        <v>1</v>
      </c>
      <c r="C6" s="23">
        <v>1261</v>
      </c>
      <c r="D6" s="22" t="s">
        <v>51</v>
      </c>
      <c r="E6" s="24"/>
      <c r="F6" s="24"/>
      <c r="G6" s="24"/>
      <c r="H6" s="24"/>
      <c r="I6" s="24"/>
      <c r="J6" s="24"/>
      <c r="K6" s="24"/>
      <c r="L6" s="24"/>
      <c r="M6" s="25" t="e">
        <f>AVERAGE(E6:L6)</f>
        <v>#DIV/0!</v>
      </c>
    </row>
    <row r="7" spans="2:13" ht="15" x14ac:dyDescent="0.25">
      <c r="B7" s="22">
        <v>2</v>
      </c>
      <c r="C7" s="23">
        <v>1249</v>
      </c>
      <c r="D7" s="22" t="s">
        <v>52</v>
      </c>
      <c r="E7" s="24"/>
      <c r="F7" s="24"/>
      <c r="G7" s="24"/>
      <c r="H7" s="24"/>
      <c r="I7" s="24"/>
      <c r="J7" s="24"/>
      <c r="K7" s="24"/>
      <c r="L7" s="24"/>
      <c r="M7" s="25" t="e">
        <f>AVERAGE(E7:L7)</f>
        <v>#DIV/0!</v>
      </c>
    </row>
    <row r="8" spans="2:13" ht="15" x14ac:dyDescent="0.25">
      <c r="B8" s="22">
        <v>3</v>
      </c>
      <c r="C8" s="23">
        <v>1130</v>
      </c>
      <c r="D8" s="22" t="s">
        <v>53</v>
      </c>
      <c r="E8" s="24"/>
      <c r="F8" s="24"/>
      <c r="G8" s="24"/>
      <c r="H8" s="24"/>
      <c r="I8" s="24"/>
      <c r="J8" s="24"/>
      <c r="K8" s="24"/>
      <c r="L8" s="24"/>
      <c r="M8" s="25" t="e">
        <f>AVERAGE(E8:L8)</f>
        <v>#DIV/0!</v>
      </c>
    </row>
    <row r="9" spans="2:13" ht="15" x14ac:dyDescent="0.25">
      <c r="B9" s="22">
        <v>4</v>
      </c>
      <c r="C9" s="23">
        <v>605</v>
      </c>
      <c r="D9" s="22" t="s">
        <v>54</v>
      </c>
      <c r="E9" s="24"/>
      <c r="F9" s="24"/>
      <c r="G9" s="24"/>
      <c r="H9" s="24"/>
      <c r="I9" s="24"/>
      <c r="J9" s="24"/>
      <c r="K9" s="24"/>
      <c r="L9" s="24"/>
      <c r="M9" s="25" t="e">
        <f>AVERAGE(E9:L9)</f>
        <v>#DIV/0!</v>
      </c>
    </row>
    <row r="10" spans="2:13" ht="15" x14ac:dyDescent="0.25">
      <c r="B10" s="22">
        <v>5</v>
      </c>
      <c r="C10" s="23">
        <v>612</v>
      </c>
      <c r="D10" s="22" t="s">
        <v>55</v>
      </c>
      <c r="E10" s="24"/>
      <c r="F10" s="24"/>
      <c r="G10" s="24"/>
      <c r="H10" s="24"/>
      <c r="I10" s="24"/>
      <c r="J10" s="24"/>
      <c r="K10" s="24"/>
      <c r="L10" s="24"/>
      <c r="M10" s="25" t="e">
        <f>AVERAGE(E10:L10)</f>
        <v>#DIV/0!</v>
      </c>
    </row>
    <row r="11" spans="2:13" ht="15" x14ac:dyDescent="0.25">
      <c r="B11" s="22">
        <v>6</v>
      </c>
      <c r="C11" s="23">
        <v>1159</v>
      </c>
      <c r="D11" s="22" t="s">
        <v>56</v>
      </c>
      <c r="E11" s="24"/>
      <c r="F11" s="24"/>
      <c r="G11" s="24"/>
      <c r="H11" s="24"/>
      <c r="I11" s="24"/>
      <c r="J11" s="24"/>
      <c r="K11" s="24"/>
      <c r="L11" s="24"/>
      <c r="M11" s="25" t="e">
        <f>AVERAGE(E11:L11)</f>
        <v>#DIV/0!</v>
      </c>
    </row>
    <row r="12" spans="2:13" ht="15" x14ac:dyDescent="0.25">
      <c r="B12" s="22">
        <v>7</v>
      </c>
      <c r="C12" s="23">
        <v>1233</v>
      </c>
      <c r="D12" s="22" t="s">
        <v>57</v>
      </c>
      <c r="E12" s="24"/>
      <c r="F12" s="24"/>
      <c r="G12" s="24"/>
      <c r="H12" s="24"/>
      <c r="I12" s="24"/>
      <c r="J12" s="24"/>
      <c r="K12" s="24"/>
      <c r="L12" s="24"/>
      <c r="M12" s="25" t="e">
        <f>AVERAGE(E12:L12)</f>
        <v>#DIV/0!</v>
      </c>
    </row>
    <row r="13" spans="2:13" ht="15" x14ac:dyDescent="0.25">
      <c r="B13" s="22">
        <v>8</v>
      </c>
      <c r="C13" s="23">
        <v>1168</v>
      </c>
      <c r="D13" s="22" t="s">
        <v>58</v>
      </c>
      <c r="E13" s="24"/>
      <c r="F13" s="24"/>
      <c r="G13" s="24"/>
      <c r="H13" s="24"/>
      <c r="I13" s="24"/>
      <c r="J13" s="24"/>
      <c r="K13" s="24"/>
      <c r="L13" s="24"/>
      <c r="M13" s="25" t="e">
        <f>AVERAGE(E13:L13)</f>
        <v>#DIV/0!</v>
      </c>
    </row>
    <row r="14" spans="2:13" ht="15" x14ac:dyDescent="0.25">
      <c r="B14" s="22">
        <v>9</v>
      </c>
      <c r="C14" s="23">
        <v>1150</v>
      </c>
      <c r="D14" s="22" t="s">
        <v>59</v>
      </c>
      <c r="E14" s="24"/>
      <c r="F14" s="24"/>
      <c r="G14" s="24"/>
      <c r="H14" s="24"/>
      <c r="I14" s="24"/>
      <c r="J14" s="24"/>
      <c r="K14" s="24"/>
      <c r="L14" s="24"/>
      <c r="M14" s="25" t="e">
        <f>AVERAGE(E14:L14)</f>
        <v>#DIV/0!</v>
      </c>
    </row>
    <row r="15" spans="2:13" ht="15" x14ac:dyDescent="0.25">
      <c r="B15" s="22">
        <v>10</v>
      </c>
      <c r="C15" s="23">
        <v>1184</v>
      </c>
      <c r="D15" s="22" t="s">
        <v>60</v>
      </c>
      <c r="E15" s="24"/>
      <c r="F15" s="24"/>
      <c r="G15" s="24"/>
      <c r="H15" s="24"/>
      <c r="I15" s="24"/>
      <c r="J15" s="24"/>
      <c r="K15" s="24"/>
      <c r="L15" s="24"/>
      <c r="M15" s="25" t="e">
        <f>AVERAGE(E15:L15)</f>
        <v>#DIV/0!</v>
      </c>
    </row>
    <row r="16" spans="2:13" ht="15" x14ac:dyDescent="0.25">
      <c r="B16" s="22">
        <v>11</v>
      </c>
      <c r="C16" s="23">
        <v>1270</v>
      </c>
      <c r="D16" s="22" t="s">
        <v>61</v>
      </c>
      <c r="E16" s="24"/>
      <c r="F16" s="24"/>
      <c r="G16" s="24"/>
      <c r="H16" s="24"/>
      <c r="I16" s="24"/>
      <c r="J16" s="24"/>
      <c r="K16" s="24"/>
      <c r="L16" s="24"/>
      <c r="M16" s="25" t="e">
        <f>AVERAGE(E16:L16)</f>
        <v>#DIV/0!</v>
      </c>
    </row>
    <row r="17" spans="2:13" ht="15" x14ac:dyDescent="0.25">
      <c r="B17" s="22">
        <v>12</v>
      </c>
      <c r="C17" s="23">
        <v>1199</v>
      </c>
      <c r="D17" s="22" t="s">
        <v>62</v>
      </c>
      <c r="E17" s="24"/>
      <c r="F17" s="24"/>
      <c r="G17" s="24"/>
      <c r="H17" s="24"/>
      <c r="I17" s="24"/>
      <c r="J17" s="24"/>
      <c r="K17" s="24"/>
      <c r="L17" s="24"/>
      <c r="M17" s="25" t="e">
        <f>AVERAGE(E17:L17)</f>
        <v>#DIV/0!</v>
      </c>
    </row>
    <row r="18" spans="2:13" ht="15" x14ac:dyDescent="0.25">
      <c r="B18" s="22">
        <v>13</v>
      </c>
      <c r="C18" s="23" t="s">
        <v>28</v>
      </c>
      <c r="D18" s="22" t="s">
        <v>63</v>
      </c>
      <c r="E18" s="24"/>
      <c r="F18" s="24"/>
      <c r="G18" s="24"/>
      <c r="H18" s="24"/>
      <c r="I18" s="24"/>
      <c r="J18" s="24"/>
      <c r="K18" s="24"/>
      <c r="L18" s="24"/>
      <c r="M18" s="25" t="e">
        <f>AVERAGE(E18:L18)</f>
        <v>#DIV/0!</v>
      </c>
    </row>
    <row r="19" spans="2:13" ht="15" x14ac:dyDescent="0.25">
      <c r="B19" s="22">
        <v>14</v>
      </c>
      <c r="C19" s="23">
        <v>1246</v>
      </c>
      <c r="D19" s="22" t="s">
        <v>64</v>
      </c>
      <c r="E19" s="24"/>
      <c r="F19" s="24"/>
      <c r="G19" s="24"/>
      <c r="H19" s="24"/>
      <c r="I19" s="24"/>
      <c r="J19" s="24"/>
      <c r="K19" s="24"/>
      <c r="L19" s="24"/>
      <c r="M19" s="25" t="e">
        <f>AVERAGE(E19:L19)</f>
        <v>#DIV/0!</v>
      </c>
    </row>
    <row r="20" spans="2:13" ht="15" x14ac:dyDescent="0.25">
      <c r="B20" s="22">
        <v>15</v>
      </c>
      <c r="C20" s="23">
        <v>1156</v>
      </c>
      <c r="D20" s="22" t="s">
        <v>65</v>
      </c>
      <c r="E20" s="24"/>
      <c r="F20" s="24"/>
      <c r="G20" s="24"/>
      <c r="H20" s="24"/>
      <c r="I20" s="24"/>
      <c r="J20" s="24"/>
      <c r="K20" s="24"/>
      <c r="L20" s="24"/>
      <c r="M20" s="25" t="e">
        <f>AVERAGE(E20:L20)</f>
        <v>#DIV/0!</v>
      </c>
    </row>
    <row r="21" spans="2:13" ht="15" x14ac:dyDescent="0.25">
      <c r="B21" s="22">
        <v>16</v>
      </c>
      <c r="C21" s="23">
        <v>1187</v>
      </c>
      <c r="D21" s="22" t="s">
        <v>66</v>
      </c>
      <c r="E21" s="24"/>
      <c r="F21" s="24"/>
      <c r="G21" s="24"/>
      <c r="H21" s="24"/>
      <c r="I21" s="24"/>
      <c r="J21" s="24"/>
      <c r="K21" s="24"/>
      <c r="L21" s="24"/>
      <c r="M21" s="25" t="e">
        <f>AVERAGE(E21:L21)</f>
        <v>#DIV/0!</v>
      </c>
    </row>
    <row r="22" spans="2:13" ht="15" x14ac:dyDescent="0.25">
      <c r="B22" s="22">
        <v>17</v>
      </c>
      <c r="C22" s="23">
        <v>1202</v>
      </c>
      <c r="D22" s="22" t="s">
        <v>67</v>
      </c>
      <c r="E22" s="24"/>
      <c r="F22" s="24"/>
      <c r="G22" s="24"/>
      <c r="H22" s="24"/>
      <c r="I22" s="24"/>
      <c r="J22" s="24"/>
      <c r="K22" s="24"/>
      <c r="L22" s="24"/>
      <c r="M22" s="25" t="e">
        <f>AVERAGE(E22:L22)</f>
        <v>#DIV/0!</v>
      </c>
    </row>
    <row r="23" spans="2:13" ht="15" x14ac:dyDescent="0.25">
      <c r="B23" s="22">
        <v>18</v>
      </c>
      <c r="C23" s="23">
        <v>1147</v>
      </c>
      <c r="D23" s="22" t="s">
        <v>68</v>
      </c>
      <c r="E23" s="24"/>
      <c r="F23" s="24"/>
      <c r="G23" s="24"/>
      <c r="H23" s="24"/>
      <c r="I23" s="24"/>
      <c r="J23" s="24"/>
      <c r="K23" s="24"/>
      <c r="L23" s="24"/>
      <c r="M23" s="25" t="e">
        <f>AVERAGE(E23:L23)</f>
        <v>#DIV/0!</v>
      </c>
    </row>
    <row r="24" spans="2:13" ht="15" x14ac:dyDescent="0.25">
      <c r="B24" s="22">
        <v>19</v>
      </c>
      <c r="C24" s="23">
        <v>1193</v>
      </c>
      <c r="D24" s="22" t="s">
        <v>69</v>
      </c>
      <c r="E24" s="24"/>
      <c r="F24" s="24"/>
      <c r="G24" s="24"/>
      <c r="H24" s="24"/>
      <c r="I24" s="24"/>
      <c r="J24" s="24"/>
      <c r="K24" s="24"/>
      <c r="L24" s="24"/>
      <c r="M24" s="25" t="e">
        <f>AVERAGE(E24:L24)</f>
        <v>#DIV/0!</v>
      </c>
    </row>
    <row r="25" spans="2:13" ht="15" x14ac:dyDescent="0.25">
      <c r="B25" s="22">
        <v>20</v>
      </c>
      <c r="C25" s="23">
        <v>1209</v>
      </c>
      <c r="D25" s="22" t="s">
        <v>70</v>
      </c>
      <c r="E25" s="24"/>
      <c r="F25" s="24"/>
      <c r="G25" s="24"/>
      <c r="H25" s="24"/>
      <c r="I25" s="24"/>
      <c r="J25" s="24"/>
      <c r="K25" s="24"/>
      <c r="L25" s="24"/>
      <c r="M25" s="25" t="e">
        <f>AVERAGE(E25:L25)</f>
        <v>#DIV/0!</v>
      </c>
    </row>
    <row r="26" spans="2:13" ht="15" x14ac:dyDescent="0.25">
      <c r="B26" s="22">
        <v>21</v>
      </c>
      <c r="C26" s="23">
        <v>1153</v>
      </c>
      <c r="D26" s="22" t="s">
        <v>71</v>
      </c>
      <c r="E26" s="24"/>
      <c r="F26" s="24"/>
      <c r="G26" s="24"/>
      <c r="H26" s="24"/>
      <c r="I26" s="24"/>
      <c r="J26" s="24"/>
      <c r="K26" s="24"/>
      <c r="L26" s="24"/>
      <c r="M26" s="25" t="e">
        <f>AVERAGE(E26:L26)</f>
        <v>#DIV/0!</v>
      </c>
    </row>
    <row r="27" spans="2:13" ht="15" x14ac:dyDescent="0.25">
      <c r="B27" s="22">
        <v>22</v>
      </c>
      <c r="C27" s="23">
        <v>1068</v>
      </c>
      <c r="D27" s="22" t="s">
        <v>72</v>
      </c>
      <c r="E27" s="24"/>
      <c r="F27" s="24"/>
      <c r="G27" s="24"/>
      <c r="H27" s="24"/>
      <c r="I27" s="24"/>
      <c r="J27" s="24"/>
      <c r="K27" s="24"/>
      <c r="L27" s="24"/>
      <c r="M27" s="25" t="e">
        <f>AVERAGE(E27:L27)</f>
        <v>#DIV/0!</v>
      </c>
    </row>
    <row r="28" spans="2:13" ht="15" x14ac:dyDescent="0.25">
      <c r="B28" s="22">
        <v>23</v>
      </c>
      <c r="C28" s="23">
        <v>1244</v>
      </c>
      <c r="D28" s="22" t="s">
        <v>73</v>
      </c>
      <c r="E28" s="24"/>
      <c r="F28" s="24"/>
      <c r="G28" s="24"/>
      <c r="H28" s="24"/>
      <c r="I28" s="24"/>
      <c r="J28" s="24"/>
      <c r="K28" s="24"/>
      <c r="L28" s="24"/>
      <c r="M28" s="25" t="e">
        <f>AVERAGE(E28:L28)</f>
        <v>#DIV/0!</v>
      </c>
    </row>
    <row r="29" spans="2:13" ht="15" x14ac:dyDescent="0.25">
      <c r="B29" s="22">
        <v>24</v>
      </c>
      <c r="C29" s="23">
        <v>719</v>
      </c>
      <c r="D29" s="22" t="s">
        <v>74</v>
      </c>
      <c r="E29" s="24"/>
      <c r="F29" s="24"/>
      <c r="G29" s="24"/>
      <c r="H29" s="24"/>
      <c r="I29" s="24"/>
      <c r="J29" s="24"/>
      <c r="K29" s="24"/>
      <c r="L29" s="24"/>
      <c r="M29" s="25" t="e">
        <f>AVERAGE(E29:L29)</f>
        <v>#DIV/0!</v>
      </c>
    </row>
    <row r="30" spans="2:13" ht="15" x14ac:dyDescent="0.25">
      <c r="B30" s="22">
        <v>25</v>
      </c>
      <c r="C30" s="23">
        <v>1259</v>
      </c>
      <c r="D30" s="22" t="s">
        <v>75</v>
      </c>
      <c r="E30" s="24"/>
      <c r="F30" s="24"/>
      <c r="G30" s="24"/>
      <c r="H30" s="24"/>
      <c r="I30" s="24"/>
      <c r="J30" s="24"/>
      <c r="K30" s="24"/>
      <c r="L30" s="24"/>
      <c r="M30" s="25" t="e">
        <f>AVERAGE(E30:L30)</f>
        <v>#DIV/0!</v>
      </c>
    </row>
    <row r="31" spans="2:13" ht="15" x14ac:dyDescent="0.25">
      <c r="B31" s="22">
        <v>26</v>
      </c>
      <c r="C31" s="23">
        <v>1267</v>
      </c>
      <c r="D31" s="22" t="s">
        <v>76</v>
      </c>
      <c r="E31" s="24"/>
      <c r="F31" s="24"/>
      <c r="G31" s="24"/>
      <c r="H31" s="24"/>
      <c r="I31" s="24"/>
      <c r="J31" s="24"/>
      <c r="K31" s="24"/>
      <c r="L31" s="24"/>
      <c r="M31" s="25" t="e">
        <f>AVERAGE(E31:L31)</f>
        <v>#DIV/0!</v>
      </c>
    </row>
    <row r="32" spans="2:13" ht="15" x14ac:dyDescent="0.25">
      <c r="B32" s="22">
        <v>27</v>
      </c>
      <c r="C32" s="23">
        <v>1206</v>
      </c>
      <c r="D32" s="22" t="s">
        <v>77</v>
      </c>
      <c r="E32" s="24"/>
      <c r="F32" s="24"/>
      <c r="G32" s="24"/>
      <c r="H32" s="24"/>
      <c r="I32" s="24"/>
      <c r="J32" s="24"/>
      <c r="K32" s="24"/>
      <c r="L32" s="24"/>
      <c r="M32" s="25" t="e">
        <f>AVERAGE(E32:L32)</f>
        <v>#DIV/0!</v>
      </c>
    </row>
    <row r="33" spans="2:13" ht="15" x14ac:dyDescent="0.25">
      <c r="B33" s="22">
        <v>28</v>
      </c>
      <c r="C33" s="23">
        <v>1144</v>
      </c>
      <c r="D33" s="22" t="s">
        <v>78</v>
      </c>
      <c r="E33" s="24"/>
      <c r="F33" s="24"/>
      <c r="G33" s="24"/>
      <c r="H33" s="24"/>
      <c r="I33" s="24"/>
      <c r="J33" s="24"/>
      <c r="K33" s="24"/>
      <c r="L33" s="24"/>
      <c r="M33" s="25" t="e">
        <f>AVERAGE(E33:L33)</f>
        <v>#DIV/0!</v>
      </c>
    </row>
    <row r="34" spans="2:13" ht="15" x14ac:dyDescent="0.25">
      <c r="B34" s="22">
        <v>29</v>
      </c>
      <c r="C34" s="23">
        <v>1137</v>
      </c>
      <c r="D34" s="22" t="s">
        <v>79</v>
      </c>
      <c r="E34" s="24"/>
      <c r="F34" s="24"/>
      <c r="G34" s="24"/>
      <c r="H34" s="24"/>
      <c r="I34" s="24"/>
      <c r="J34" s="24"/>
      <c r="K34" s="24"/>
      <c r="L34" s="24"/>
      <c r="M34" s="25" t="e">
        <f>AVERAGE(E34:L34)</f>
        <v>#DIV/0!</v>
      </c>
    </row>
    <row r="35" spans="2:13" ht="15" x14ac:dyDescent="0.25">
      <c r="B35" s="22">
        <v>30</v>
      </c>
      <c r="C35" s="23">
        <v>1216</v>
      </c>
      <c r="D35" s="22" t="s">
        <v>80</v>
      </c>
      <c r="E35" s="24"/>
      <c r="F35" s="24"/>
      <c r="G35" s="24"/>
      <c r="H35" s="24"/>
      <c r="I35" s="24"/>
      <c r="J35" s="24"/>
      <c r="K35" s="24"/>
      <c r="L35" s="24"/>
      <c r="M35" s="25" t="e">
        <f>AVERAGE(E35:L35)</f>
        <v>#DIV/0!</v>
      </c>
    </row>
    <row r="36" spans="2:13" ht="15" x14ac:dyDescent="0.25">
      <c r="B36" s="22">
        <v>31</v>
      </c>
      <c r="C36" s="23">
        <v>1254</v>
      </c>
      <c r="D36" s="22" t="s">
        <v>81</v>
      </c>
      <c r="E36" s="24"/>
      <c r="F36" s="24"/>
      <c r="G36" s="24"/>
      <c r="H36" s="24"/>
      <c r="I36" s="24"/>
      <c r="J36" s="24"/>
      <c r="K36" s="24"/>
      <c r="L36" s="24"/>
      <c r="M36" s="25" t="e">
        <f>AVERAGE(E36:L36)</f>
        <v>#DIV/0!</v>
      </c>
    </row>
  </sheetData>
  <mergeCells count="3">
    <mergeCell ref="B2:D2"/>
    <mergeCell ref="E2:M2"/>
    <mergeCell ref="B3:C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Tareas</vt:lpstr>
      <vt:lpstr>Cuaderno</vt:lpstr>
      <vt:lpstr>Libro</vt:lpstr>
      <vt:lpstr>Anexos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Guerra Santibanez Elisa (BGSW/EBS3.1-SX)</dc:creator>
  <cp:lastModifiedBy>Guerra Santibanez Elisa (BGSW/EBS3.1-SX)</cp:lastModifiedBy>
  <dcterms:created xsi:type="dcterms:W3CDTF">2025-11-01T17:31:00Z</dcterms:created>
  <dcterms:modified xsi:type="dcterms:W3CDTF">2025-12-15T06:34:08Z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9FC28FC8EEF046138C14D2D73032ABE8_12</vt:lpwstr>
  </property>
  <property fmtid="{D5CDD505-2E9C-101B-9397-08002B2CF9AE}" pid="3" name="KSOProductBuildVer">
    <vt:lpwstr>2058-12.2.0.23155</vt:lpwstr>
  </property>
</Properties>
</file>