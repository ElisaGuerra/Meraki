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C:\Users\GSE2GA\Documents\Personal\Tere Guerra\Meraki\Calificaciones 2025-2026\Segundo Trimestre\"/>
    </mc:Choice>
  </mc:AlternateContent>
  <xr:revisionPtr revIDLastSave="0" documentId="13_ncr:1_{5516FE00-3B04-421D-AB49-14E04B758989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Calificaciones" sheetId="3" r:id="rId1"/>
    <sheet name="Tareas" sheetId="1" r:id="rId2"/>
    <sheet name="Cuaderno" sheetId="6" r:id="rId3"/>
    <sheet name="Libro" sheetId="7" r:id="rId4"/>
    <sheet name="Anexos" sheetId="8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9" i="8" l="1"/>
  <c r="R28" i="8"/>
  <c r="R27" i="8"/>
  <c r="R26" i="8"/>
  <c r="R25" i="8"/>
  <c r="R24" i="8"/>
  <c r="R23" i="8"/>
  <c r="R22" i="8"/>
  <c r="R21" i="8"/>
  <c r="R20" i="8"/>
  <c r="R19" i="8"/>
  <c r="R18" i="8"/>
  <c r="R17" i="8"/>
  <c r="R16" i="8"/>
  <c r="R15" i="8"/>
  <c r="R14" i="8"/>
  <c r="R13" i="8"/>
  <c r="R12" i="8"/>
  <c r="R11" i="8"/>
  <c r="R10" i="8"/>
  <c r="R9" i="8"/>
  <c r="R8" i="8"/>
  <c r="R7" i="8"/>
  <c r="R6" i="8"/>
  <c r="AM29" i="7"/>
  <c r="AM28" i="7"/>
  <c r="AM27" i="7"/>
  <c r="AM26" i="7"/>
  <c r="AM25" i="7"/>
  <c r="AM24" i="7"/>
  <c r="AM23" i="7"/>
  <c r="AM22" i="7"/>
  <c r="AM21" i="7"/>
  <c r="AM20" i="7"/>
  <c r="AM19" i="7"/>
  <c r="AM18" i="7"/>
  <c r="AM17" i="7"/>
  <c r="AM16" i="7"/>
  <c r="AM15" i="7"/>
  <c r="AM14" i="7"/>
  <c r="AM13" i="7"/>
  <c r="AM12" i="7"/>
  <c r="AM11" i="7"/>
  <c r="AM10" i="7"/>
  <c r="AM9" i="7"/>
  <c r="AM8" i="7"/>
  <c r="AM7" i="7"/>
  <c r="AM6" i="7"/>
  <c r="N29" i="6"/>
  <c r="J29" i="3" s="1"/>
  <c r="N28" i="6"/>
  <c r="J28" i="3" s="1"/>
  <c r="N27" i="6"/>
  <c r="J27" i="3" s="1"/>
  <c r="N26" i="6"/>
  <c r="J26" i="3" s="1"/>
  <c r="N25" i="6"/>
  <c r="J25" i="3" s="1"/>
  <c r="N24" i="6"/>
  <c r="J24" i="3" s="1"/>
  <c r="N23" i="6"/>
  <c r="N22" i="6"/>
  <c r="N21" i="6"/>
  <c r="N20" i="6"/>
  <c r="N19" i="6"/>
  <c r="J19" i="3" s="1"/>
  <c r="N18" i="6"/>
  <c r="J18" i="3" s="1"/>
  <c r="N17" i="6"/>
  <c r="J17" i="3" s="1"/>
  <c r="N16" i="6"/>
  <c r="N15" i="6"/>
  <c r="J15" i="3" s="1"/>
  <c r="N14" i="6"/>
  <c r="N13" i="6"/>
  <c r="J13" i="3" s="1"/>
  <c r="N12" i="6"/>
  <c r="J12" i="3" s="1"/>
  <c r="N11" i="6"/>
  <c r="J11" i="3" s="1"/>
  <c r="N10" i="6"/>
  <c r="N9" i="6"/>
  <c r="J9" i="3" s="1"/>
  <c r="N8" i="6"/>
  <c r="J8" i="3" s="1"/>
  <c r="N7" i="6"/>
  <c r="J7" i="3" s="1"/>
  <c r="J30" i="3" s="1"/>
  <c r="N6" i="6"/>
  <c r="Q29" i="1"/>
  <c r="Q28" i="1"/>
  <c r="Q27" i="1"/>
  <c r="Q26" i="1"/>
  <c r="Q25" i="1"/>
  <c r="I25" i="3" s="1"/>
  <c r="Q24" i="1"/>
  <c r="Q23" i="1"/>
  <c r="Q22" i="1"/>
  <c r="Q21" i="1"/>
  <c r="Q20" i="1"/>
  <c r="Q19" i="1"/>
  <c r="Q18" i="1"/>
  <c r="Q17" i="1"/>
  <c r="Q16" i="1"/>
  <c r="I16" i="3" s="1"/>
  <c r="Q15" i="1"/>
  <c r="I15" i="3" s="1"/>
  <c r="Q14" i="1"/>
  <c r="I14" i="3" s="1"/>
  <c r="Q13" i="1"/>
  <c r="I13" i="3" s="1"/>
  <c r="Q12" i="1"/>
  <c r="I12" i="3" s="1"/>
  <c r="Q11" i="1"/>
  <c r="I11" i="3" s="1"/>
  <c r="Q10" i="1"/>
  <c r="I10" i="3" s="1"/>
  <c r="Q9" i="1"/>
  <c r="I9" i="3" s="1"/>
  <c r="Q8" i="1"/>
  <c r="I8" i="3" s="1"/>
  <c r="Q7" i="1"/>
  <c r="Q6" i="1"/>
  <c r="I6" i="3" s="1"/>
  <c r="I30" i="3" s="1"/>
  <c r="K30" i="3"/>
  <c r="H30" i="3"/>
  <c r="G30" i="3"/>
  <c r="F30" i="3"/>
  <c r="E30" i="3"/>
  <c r="I29" i="3"/>
  <c r="I28" i="3"/>
  <c r="I27" i="3"/>
  <c r="I26" i="3"/>
  <c r="I24" i="3"/>
  <c r="I23" i="3"/>
  <c r="I22" i="3"/>
  <c r="J21" i="3"/>
  <c r="I21" i="3"/>
  <c r="I20" i="3"/>
  <c r="I19" i="3"/>
  <c r="I18" i="3"/>
  <c r="I17" i="3"/>
  <c r="J16" i="3"/>
  <c r="I7" i="3"/>
  <c r="L11" i="3" l="1"/>
  <c r="L12" i="3"/>
  <c r="L13" i="3"/>
  <c r="L21" i="3"/>
  <c r="L15" i="3"/>
  <c r="L17" i="3"/>
  <c r="L18" i="3"/>
  <c r="L19" i="3"/>
  <c r="L6" i="3"/>
  <c r="L24" i="3"/>
  <c r="L25" i="3"/>
  <c r="L26" i="3"/>
  <c r="L27" i="3"/>
  <c r="L28" i="3"/>
  <c r="L29" i="3"/>
  <c r="L8" i="3"/>
  <c r="L16" i="3"/>
  <c r="L9" i="3"/>
  <c r="L7" i="3"/>
  <c r="L30" i="3" s="1"/>
  <c r="J20" i="3"/>
  <c r="L20" i="3" s="1"/>
  <c r="J14" i="3"/>
  <c r="L14" i="3" s="1"/>
  <c r="J22" i="3"/>
  <c r="L22" i="3" s="1"/>
  <c r="J23" i="3"/>
  <c r="L23" i="3" s="1"/>
  <c r="J10" i="3"/>
  <c r="L10" i="3" s="1"/>
</calcChain>
</file>

<file path=xl/sharedStrings.xml><?xml version="1.0" encoding="utf-8"?>
<sst xmlns="http://schemas.openxmlformats.org/spreadsheetml/2006/main" count="208" uniqueCount="80">
  <si>
    <t>N8 SECUNDARIA 2°A</t>
  </si>
  <si>
    <t>Historia II</t>
  </si>
  <si>
    <t>Concepto a Calificar</t>
  </si>
  <si>
    <t>Examen 1</t>
  </si>
  <si>
    <t>Examen 2</t>
  </si>
  <si>
    <t>Examen Trimestral</t>
  </si>
  <si>
    <t>Disciplina</t>
  </si>
  <si>
    <t>Tareas</t>
  </si>
  <si>
    <t>Registro Diario</t>
  </si>
  <si>
    <t>Proyecto</t>
  </si>
  <si>
    <t>Promedio</t>
  </si>
  <si>
    <t>Comentario de Apoyo Requerido</t>
  </si>
  <si>
    <t>Porcentaje</t>
  </si>
  <si>
    <t>No.</t>
  </si>
  <si>
    <t>Matrícula</t>
  </si>
  <si>
    <t>Nombre del Alumno</t>
  </si>
  <si>
    <t>Arias Rojas Byron Osmar</t>
  </si>
  <si>
    <t>Arreola Ibarra Iker Santiago</t>
  </si>
  <si>
    <t>Blanco Mondragon Estela Mariel</t>
  </si>
  <si>
    <t>Camejo de la Torre Rebeca Abigail</t>
  </si>
  <si>
    <t>Cano Monge Jesus Aaron</t>
  </si>
  <si>
    <t>Castro Vergara Maia Sofía</t>
  </si>
  <si>
    <t>Del Valle Rodriguez Dante Karim</t>
  </si>
  <si>
    <t>Franco Cervantes Valeria</t>
  </si>
  <si>
    <t>Garcia Garcia Daxel Alejandro</t>
  </si>
  <si>
    <t>Gomez Torres Ethan Mateo</t>
  </si>
  <si>
    <t>Gonzalez Martinez Daniela Nicole</t>
  </si>
  <si>
    <t>Lopez Navarro Mia Sophia</t>
  </si>
  <si>
    <t>Maldonado Hernandez Joel</t>
  </si>
  <si>
    <t>Mejia Gomez Paulina Isabel</t>
  </si>
  <si>
    <t>Olivares Oceguera Santiago Nahum</t>
  </si>
  <si>
    <t>Patiño Carreño Julio Felipe</t>
  </si>
  <si>
    <t>Ramirez Garcia Johari Valentina</t>
  </si>
  <si>
    <t>Rico Bravo Matias Eduardo</t>
  </si>
  <si>
    <t>Sanchez Robles Santiago Daniel</t>
  </si>
  <si>
    <t>Sandoval Castañeda Nathalia Nohemi</t>
  </si>
  <si>
    <t>Velazquez Jasso Santiago</t>
  </si>
  <si>
    <t>Yañez Delgadillo Cyan</t>
  </si>
  <si>
    <t>Zambrano Chacon Dayron Jesus</t>
  </si>
  <si>
    <t>Zavala Cortés Madeline</t>
  </si>
  <si>
    <t>TOTAL</t>
  </si>
  <si>
    <t>Tarea</t>
  </si>
  <si>
    <t>Cuaderno</t>
  </si>
  <si>
    <t>Actividad</t>
  </si>
  <si>
    <t>Libro</t>
  </si>
  <si>
    <t>Página</t>
  </si>
  <si>
    <t>Antonio López de Santa Anna</t>
  </si>
  <si>
    <t>Periodos Presidenciales Santa Anna</t>
  </si>
  <si>
    <t>Un gobierno de pérdidas y ovaciones</t>
  </si>
  <si>
    <t>¿Qué paso con Santa Anna?</t>
  </si>
  <si>
    <t>Guerra de Reforma</t>
  </si>
  <si>
    <t>Inicio de la Guerra de Reforma</t>
  </si>
  <si>
    <t>Leyes de Reforma</t>
  </si>
  <si>
    <t>Liberales y Conservadores</t>
  </si>
  <si>
    <t>Segundo Imperio</t>
  </si>
  <si>
    <t>Santa Anna ¿Heroe, villano o estratega?</t>
  </si>
  <si>
    <t>Línea del Tiempo: 11 periodos presidenciales de Santa Anna</t>
  </si>
  <si>
    <t>Dictaduras actuales de América Latina</t>
  </si>
  <si>
    <t>Alternancia política en México</t>
  </si>
  <si>
    <t>Liberal o conservador</t>
  </si>
  <si>
    <t>Collage Guerras de Reforma</t>
  </si>
  <si>
    <t>La Ley Lerdo</t>
  </si>
  <si>
    <t>Benemérito de las Américas</t>
  </si>
  <si>
    <t>Tratados Internacionales Juárez</t>
  </si>
  <si>
    <t>Segunda Intervención Francesa</t>
  </si>
  <si>
    <t>El Porfiriato</t>
  </si>
  <si>
    <t>Temario</t>
  </si>
  <si>
    <t>Así llegue al poder</t>
  </si>
  <si>
    <t>La píerna de Santa Anna</t>
  </si>
  <si>
    <t>¿Cuánto cuesta tu territorio?</t>
  </si>
  <si>
    <t>¿Qué es una disctadura?</t>
  </si>
  <si>
    <t>Parte y Comparte</t>
  </si>
  <si>
    <t>Juntos pero no revueltos</t>
  </si>
  <si>
    <t>Cuentas claras</t>
  </si>
  <si>
    <t>Libertades y garantías</t>
  </si>
  <si>
    <t>La reforma en la vida cotidiana</t>
  </si>
  <si>
    <t>¿Quéson las leyes de Reforma?</t>
  </si>
  <si>
    <t>Libertad de tránsito</t>
  </si>
  <si>
    <t>Insistencia española</t>
  </si>
  <si>
    <t>Todos contra uno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</si>
</sst>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_ "/>
    <numFmt numFmtId="166" formatCode="0.0_ "/>
  </numFmts>
  <fonts count="4" x14ac:knownFonts="1">
    <font>
      <sz val="11"/>
      <color theme="1"/>
      <name val="Aptos Narrow"/>
      <charset val="134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3" borderId="1" xfId="0" applyFill="1" applyBorder="1"/>
    <xf numFmtId="0" fontId="1" fillId="3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4" borderId="1" xfId="0" applyNumberFormat="1" applyFill="1" applyBorder="1" applyAlignment="1">
      <alignment horizontal="center"/>
    </xf>
    <xf numFmtId="164" fontId="1" fillId="5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0" xfId="0" applyFont="1"/>
    <xf numFmtId="0" fontId="3" fillId="3" borderId="1" xfId="0" applyFont="1" applyFill="1" applyBorder="1"/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textRotation="90" wrapText="1"/>
    </xf>
    <xf numFmtId="0" fontId="2" fillId="3" borderId="1" xfId="0" applyFont="1" applyFill="1" applyBorder="1" applyAlignment="1">
      <alignment horizontal="center"/>
    </xf>
    <xf numFmtId="0" fontId="3" fillId="0" borderId="1" xfId="0" applyFont="1" applyBorder="1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3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164" fontId="3" fillId="0" borderId="0" xfId="0" applyNumberFormat="1" applyFont="1"/>
    <xf numFmtId="166" fontId="3" fillId="0" borderId="0" xfId="0" applyNumberFormat="1" applyFont="1"/>
    <xf numFmtId="165" fontId="3" fillId="0" borderId="0" xfId="0" applyNumberFormat="1" applyFont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/>
    <xf numFmtId="164" fontId="3" fillId="0" borderId="1" xfId="0" applyNumberFormat="1" applyFont="1" applyFill="1" applyBorder="1" applyAlignment="1">
      <alignment horizontal="center" vertical="center"/>
    </xf>
    <xf numFmtId="164" fontId="2" fillId="0" borderId="1" xfId="0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164" fontId="2" fillId="6" borderId="1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textRotation="90" wrapText="1"/>
    </xf>
    <xf numFmtId="0" fontId="2" fillId="3" borderId="0" xfId="0" applyFont="1" applyFill="1" applyAlignment="1">
      <alignment horizontal="center" vertical="center" textRotation="90" wrapText="1"/>
    </xf>
    <xf numFmtId="164" fontId="2" fillId="3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5" borderId="10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 vertical="center" textRotation="90" wrapText="1"/>
    </xf>
    <xf numFmtId="0" fontId="2" fillId="3" borderId="10" xfId="0" applyFont="1" applyFill="1" applyBorder="1" applyAlignment="1">
      <alignment horizontal="center" vertical="center" textRotation="90" wrapText="1"/>
    </xf>
    <xf numFmtId="0" fontId="2" fillId="3" borderId="3" xfId="0" applyFont="1" applyFill="1" applyBorder="1" applyAlignment="1">
      <alignment horizontal="center" vertical="center" textRotation="90" wrapText="1"/>
    </xf>
    <xf numFmtId="0" fontId="2" fillId="2" borderId="2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M30"/>
  <sheetViews>
    <sheetView topLeftCell="C4" workbookViewId="0">
      <selection activeCell="J7" sqref="J7"/>
    </sheetView>
  </sheetViews>
  <sheetFormatPr defaultColWidth="9.125" defaultRowHeight="13.5" x14ac:dyDescent="0.15"/>
  <cols>
    <col min="3" max="3" width="12.625" customWidth="1"/>
    <col min="4" max="4" width="34.875" customWidth="1"/>
    <col min="5" max="6" width="9.25" customWidth="1"/>
    <col min="7" max="7" width="17.625" customWidth="1"/>
    <col min="8" max="8" width="10" customWidth="1"/>
    <col min="9" max="9" width="8.625" customWidth="1"/>
    <col min="10" max="10" width="20.375" customWidth="1"/>
    <col min="11" max="11" width="11.125" customWidth="1"/>
    <col min="12" max="12" width="12.75" customWidth="1"/>
    <col min="13" max="13" width="35.5" customWidth="1"/>
  </cols>
  <sheetData>
    <row r="2" spans="2:13" ht="15" x14ac:dyDescent="0.25">
      <c r="B2" s="42" t="s">
        <v>0</v>
      </c>
      <c r="C2" s="42"/>
      <c r="D2" s="42"/>
      <c r="E2" s="42" t="s">
        <v>1</v>
      </c>
      <c r="F2" s="42"/>
      <c r="G2" s="42"/>
      <c r="H2" s="42"/>
      <c r="I2" s="42"/>
      <c r="J2" s="42"/>
      <c r="K2" s="42"/>
      <c r="L2" s="42"/>
      <c r="M2" s="42"/>
    </row>
    <row r="3" spans="2:13" ht="15" x14ac:dyDescent="0.25">
      <c r="B3" s="1"/>
      <c r="C3" s="1"/>
      <c r="D3" s="2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</row>
    <row r="4" spans="2:13" x14ac:dyDescent="0.15">
      <c r="B4" s="6"/>
      <c r="C4" s="6"/>
      <c r="D4" s="6" t="s">
        <v>12</v>
      </c>
      <c r="E4" s="9">
        <v>0.09</v>
      </c>
      <c r="F4" s="9">
        <v>0.09</v>
      </c>
      <c r="G4" s="9">
        <v>0.25</v>
      </c>
      <c r="H4" s="9">
        <v>7.0000000000000007E-2</v>
      </c>
      <c r="I4" s="9">
        <v>0.2</v>
      </c>
      <c r="J4" s="9">
        <v>0.2</v>
      </c>
      <c r="K4" s="9">
        <v>0.1</v>
      </c>
      <c r="L4" s="1"/>
      <c r="M4" s="6"/>
    </row>
    <row r="5" spans="2:13" ht="15" x14ac:dyDescent="0.25">
      <c r="B5" s="4" t="s">
        <v>13</v>
      </c>
      <c r="C5" s="4" t="s">
        <v>14</v>
      </c>
      <c r="D5" s="5" t="s">
        <v>15</v>
      </c>
      <c r="E5" s="6"/>
      <c r="F5" s="6"/>
      <c r="G5" s="6"/>
      <c r="H5" s="6"/>
      <c r="I5" s="6"/>
      <c r="J5" s="6"/>
      <c r="K5" s="6"/>
      <c r="L5" s="1"/>
      <c r="M5" s="6"/>
    </row>
    <row r="6" spans="2:13" ht="15" x14ac:dyDescent="0.25">
      <c r="B6" s="7">
        <v>1</v>
      </c>
      <c r="C6" s="7">
        <v>1045</v>
      </c>
      <c r="D6" t="s">
        <v>16</v>
      </c>
      <c r="E6" s="10">
        <v>9</v>
      </c>
      <c r="F6" s="10">
        <v>8</v>
      </c>
      <c r="G6" s="10">
        <v>0</v>
      </c>
      <c r="H6" s="10">
        <v>3</v>
      </c>
      <c r="I6" s="10" t="e">
        <f>Tareas!Q6</f>
        <v>#DIV/0!</v>
      </c>
      <c r="J6" s="10">
        <v>0</v>
      </c>
      <c r="K6" s="10">
        <v>0</v>
      </c>
      <c r="L6" s="8" t="e">
        <f>E6*0.09+F6*0.09+G8*0.25+H6*0.07+I6*0.2+J6*0.2+K6*0.1</f>
        <v>#DIV/0!</v>
      </c>
      <c r="M6" s="6"/>
    </row>
    <row r="7" spans="2:13" ht="15" x14ac:dyDescent="0.25">
      <c r="B7" s="7">
        <v>2</v>
      </c>
      <c r="C7" s="7">
        <v>1060</v>
      </c>
      <c r="D7" s="6" t="s">
        <v>17</v>
      </c>
      <c r="E7" s="10">
        <v>7</v>
      </c>
      <c r="F7" s="10">
        <v>8</v>
      </c>
      <c r="G7" s="10">
        <v>0</v>
      </c>
      <c r="H7" s="10">
        <v>6</v>
      </c>
      <c r="I7" s="10" t="e">
        <f>Tareas!Q7</f>
        <v>#DIV/0!</v>
      </c>
      <c r="J7" s="10" t="e">
        <f>#REF!*0.5+Cuaderno!N7*0.5</f>
        <v>#REF!</v>
      </c>
      <c r="K7" s="10">
        <v>0</v>
      </c>
      <c r="L7" s="8" t="e">
        <f t="shared" ref="L7:L16" si="0">E7*0.09+F7*0.09+G7*0.25+H7*0.07+I7*0.2+J7*0.2+K7*0.1</f>
        <v>#DIV/0!</v>
      </c>
      <c r="M7" s="6"/>
    </row>
    <row r="8" spans="2:13" ht="15" x14ac:dyDescent="0.25">
      <c r="B8" s="7">
        <v>3</v>
      </c>
      <c r="C8" s="7">
        <v>1108</v>
      </c>
      <c r="D8" s="6" t="s">
        <v>18</v>
      </c>
      <c r="E8" s="10">
        <v>8</v>
      </c>
      <c r="F8" s="10">
        <v>10</v>
      </c>
      <c r="G8" s="10">
        <v>0</v>
      </c>
      <c r="H8" s="10">
        <v>9</v>
      </c>
      <c r="I8" s="10" t="e">
        <f>Tareas!Q8</f>
        <v>#DIV/0!</v>
      </c>
      <c r="J8" s="10" t="e">
        <f>#REF!*0.5+Cuaderno!N8*0.5</f>
        <v>#REF!</v>
      </c>
      <c r="K8" s="10">
        <v>0</v>
      </c>
      <c r="L8" s="8" t="e">
        <f t="shared" si="0"/>
        <v>#DIV/0!</v>
      </c>
      <c r="M8" s="6"/>
    </row>
    <row r="9" spans="2:13" ht="15" x14ac:dyDescent="0.25">
      <c r="B9" s="7">
        <v>4</v>
      </c>
      <c r="C9" s="7">
        <v>876</v>
      </c>
      <c r="D9" s="6" t="s">
        <v>19</v>
      </c>
      <c r="E9" s="10">
        <v>10</v>
      </c>
      <c r="F9" s="10">
        <v>8.6999999999999993</v>
      </c>
      <c r="G9" s="10">
        <v>0</v>
      </c>
      <c r="H9" s="10">
        <v>10</v>
      </c>
      <c r="I9" s="10" t="e">
        <f>Tareas!Q9</f>
        <v>#DIV/0!</v>
      </c>
      <c r="J9" s="10" t="e">
        <f>#REF!*0.5+Cuaderno!N9*0.5</f>
        <v>#REF!</v>
      </c>
      <c r="K9" s="10">
        <v>0</v>
      </c>
      <c r="L9" s="8" t="e">
        <f t="shared" si="0"/>
        <v>#DIV/0!</v>
      </c>
      <c r="M9" s="6"/>
    </row>
    <row r="10" spans="2:13" ht="15" x14ac:dyDescent="0.25">
      <c r="B10" s="7">
        <v>5</v>
      </c>
      <c r="C10" s="7">
        <v>639</v>
      </c>
      <c r="D10" s="6" t="s">
        <v>20</v>
      </c>
      <c r="E10" s="10">
        <v>10</v>
      </c>
      <c r="F10" s="10">
        <v>10</v>
      </c>
      <c r="G10" s="10">
        <v>0</v>
      </c>
      <c r="H10" s="10">
        <v>10</v>
      </c>
      <c r="I10" s="10" t="e">
        <f>Tareas!Q10</f>
        <v>#DIV/0!</v>
      </c>
      <c r="J10" s="10" t="e">
        <f>#REF!*0.5+Cuaderno!N10*0.5</f>
        <v>#REF!</v>
      </c>
      <c r="K10" s="10">
        <v>0</v>
      </c>
      <c r="L10" s="8" t="e">
        <f t="shared" si="0"/>
        <v>#DIV/0!</v>
      </c>
      <c r="M10" s="6"/>
    </row>
    <row r="11" spans="2:13" ht="15" x14ac:dyDescent="0.25">
      <c r="B11" s="7">
        <v>6</v>
      </c>
      <c r="C11" s="7">
        <v>1224</v>
      </c>
      <c r="D11" s="6" t="s">
        <v>21</v>
      </c>
      <c r="E11" s="10">
        <v>8</v>
      </c>
      <c r="F11" s="10">
        <v>4.7</v>
      </c>
      <c r="G11" s="10">
        <v>0</v>
      </c>
      <c r="H11" s="10">
        <v>8</v>
      </c>
      <c r="I11" s="10" t="e">
        <f>Tareas!Q11</f>
        <v>#DIV/0!</v>
      </c>
      <c r="J11" s="10" t="e">
        <f>#REF!*0.5+Cuaderno!N11*0.5</f>
        <v>#REF!</v>
      </c>
      <c r="K11" s="10">
        <v>0</v>
      </c>
      <c r="L11" s="8" t="e">
        <f t="shared" si="0"/>
        <v>#DIV/0!</v>
      </c>
      <c r="M11" s="6"/>
    </row>
    <row r="12" spans="2:13" ht="15" x14ac:dyDescent="0.25">
      <c r="B12" s="7">
        <v>7</v>
      </c>
      <c r="C12" s="7">
        <v>1069</v>
      </c>
      <c r="D12" s="6" t="s">
        <v>22</v>
      </c>
      <c r="E12" s="10">
        <v>9</v>
      </c>
      <c r="F12" s="10">
        <v>10</v>
      </c>
      <c r="G12" s="10">
        <v>0</v>
      </c>
      <c r="H12" s="10">
        <v>0</v>
      </c>
      <c r="I12" s="10" t="e">
        <f>Tareas!Q12</f>
        <v>#DIV/0!</v>
      </c>
      <c r="J12" s="10" t="e">
        <f>#REF!*0.5+Cuaderno!N12*0.5</f>
        <v>#REF!</v>
      </c>
      <c r="K12" s="10">
        <v>0</v>
      </c>
      <c r="L12" s="8" t="e">
        <f t="shared" si="0"/>
        <v>#DIV/0!</v>
      </c>
      <c r="M12" s="6"/>
    </row>
    <row r="13" spans="2:13" ht="15" x14ac:dyDescent="0.25">
      <c r="B13" s="7">
        <v>8</v>
      </c>
      <c r="C13" s="7">
        <v>1003</v>
      </c>
      <c r="D13" s="6" t="s">
        <v>23</v>
      </c>
      <c r="E13" s="10">
        <v>10</v>
      </c>
      <c r="F13" s="10">
        <v>6</v>
      </c>
      <c r="G13" s="10">
        <v>0</v>
      </c>
      <c r="H13" s="10">
        <v>9</v>
      </c>
      <c r="I13" s="10" t="e">
        <f>Tareas!Q13</f>
        <v>#DIV/0!</v>
      </c>
      <c r="J13" s="10" t="e">
        <f>#REF!*0.5+Cuaderno!N13*0.5</f>
        <v>#REF!</v>
      </c>
      <c r="K13" s="10">
        <v>0</v>
      </c>
      <c r="L13" s="8" t="e">
        <f t="shared" si="0"/>
        <v>#DIV/0!</v>
      </c>
      <c r="M13" s="6"/>
    </row>
    <row r="14" spans="2:13" ht="15" x14ac:dyDescent="0.25">
      <c r="B14" s="7">
        <v>9</v>
      </c>
      <c r="C14" s="7">
        <v>698</v>
      </c>
      <c r="D14" s="6" t="s">
        <v>24</v>
      </c>
      <c r="E14" s="10">
        <v>9</v>
      </c>
      <c r="F14" s="11">
        <v>0</v>
      </c>
      <c r="G14" s="10">
        <v>0</v>
      </c>
      <c r="H14" s="10">
        <v>8</v>
      </c>
      <c r="I14" s="10" t="e">
        <f>Tareas!Q14</f>
        <v>#DIV/0!</v>
      </c>
      <c r="J14" s="10" t="e">
        <f>#REF!*0.5+Cuaderno!N14*0.5</f>
        <v>#REF!</v>
      </c>
      <c r="K14" s="10">
        <v>0</v>
      </c>
      <c r="L14" s="8" t="e">
        <f t="shared" si="0"/>
        <v>#DIV/0!</v>
      </c>
      <c r="M14" s="6"/>
    </row>
    <row r="15" spans="2:13" ht="15" x14ac:dyDescent="0.25">
      <c r="B15" s="7">
        <v>10</v>
      </c>
      <c r="C15" s="7">
        <v>1004</v>
      </c>
      <c r="D15" s="6" t="s">
        <v>25</v>
      </c>
      <c r="E15" s="10">
        <v>8</v>
      </c>
      <c r="F15" s="10">
        <v>8</v>
      </c>
      <c r="G15" s="10">
        <v>0</v>
      </c>
      <c r="H15" s="10">
        <v>3</v>
      </c>
      <c r="I15" s="10" t="e">
        <f>Tareas!Q15</f>
        <v>#DIV/0!</v>
      </c>
      <c r="J15" s="10" t="e">
        <f>#REF!*0.5+Cuaderno!N15*0.5</f>
        <v>#REF!</v>
      </c>
      <c r="K15" s="10">
        <v>0</v>
      </c>
      <c r="L15" s="8" t="e">
        <f t="shared" si="0"/>
        <v>#DIV/0!</v>
      </c>
      <c r="M15" s="6"/>
    </row>
    <row r="16" spans="2:13" ht="15" x14ac:dyDescent="0.25">
      <c r="B16" s="7">
        <v>11</v>
      </c>
      <c r="C16" s="7">
        <v>1214</v>
      </c>
      <c r="D16" s="6" t="s">
        <v>26</v>
      </c>
      <c r="E16" s="10">
        <v>7</v>
      </c>
      <c r="F16" s="10">
        <v>6.7</v>
      </c>
      <c r="G16" s="10">
        <v>0</v>
      </c>
      <c r="H16" s="10">
        <v>8</v>
      </c>
      <c r="I16" s="10" t="e">
        <f>Tareas!Q16</f>
        <v>#DIV/0!</v>
      </c>
      <c r="J16" s="10" t="e">
        <f>#REF!*0.5+Cuaderno!N16*0.5</f>
        <v>#REF!</v>
      </c>
      <c r="K16" s="10">
        <v>0</v>
      </c>
      <c r="L16" s="8" t="e">
        <f t="shared" si="0"/>
        <v>#DIV/0!</v>
      </c>
      <c r="M16" s="6"/>
    </row>
    <row r="17" spans="2:13" ht="15" x14ac:dyDescent="0.25">
      <c r="B17" s="7">
        <v>12</v>
      </c>
      <c r="C17" s="7">
        <v>1083</v>
      </c>
      <c r="D17" s="6" t="s">
        <v>27</v>
      </c>
      <c r="E17" s="10">
        <v>9</v>
      </c>
      <c r="F17" s="10">
        <v>9.6999999999999993</v>
      </c>
      <c r="G17" s="10">
        <v>0</v>
      </c>
      <c r="H17" s="10">
        <v>9</v>
      </c>
      <c r="I17" s="10" t="e">
        <f>Tareas!Q17</f>
        <v>#DIV/0!</v>
      </c>
      <c r="J17" s="10" t="e">
        <f>#REF!*0.5+Cuaderno!N17*0.5</f>
        <v>#REF!</v>
      </c>
      <c r="K17" s="10">
        <v>0</v>
      </c>
      <c r="L17" s="8" t="e">
        <f t="shared" ref="L17:L29" si="1">E17*0.09+F17*0.09+G17*0.25+H17*0.07+I17*0.2+J17*0.2+K17*0.1</f>
        <v>#DIV/0!</v>
      </c>
      <c r="M17" s="6"/>
    </row>
    <row r="18" spans="2:13" ht="15" x14ac:dyDescent="0.25">
      <c r="B18" s="7">
        <v>13</v>
      </c>
      <c r="C18" s="7">
        <v>1006</v>
      </c>
      <c r="D18" s="6" t="s">
        <v>28</v>
      </c>
      <c r="E18" s="10">
        <v>4</v>
      </c>
      <c r="F18" s="10">
        <v>9.3000000000000007</v>
      </c>
      <c r="G18" s="10">
        <v>0</v>
      </c>
      <c r="H18" s="10">
        <v>6</v>
      </c>
      <c r="I18" s="10" t="e">
        <f>Tareas!Q18</f>
        <v>#DIV/0!</v>
      </c>
      <c r="J18" s="10" t="e">
        <f>#REF!*0.5+Cuaderno!N18*0.5</f>
        <v>#REF!</v>
      </c>
      <c r="K18" s="10">
        <v>0</v>
      </c>
      <c r="L18" s="8" t="e">
        <f t="shared" si="1"/>
        <v>#DIV/0!</v>
      </c>
      <c r="M18" s="6"/>
    </row>
    <row r="19" spans="2:13" ht="15" x14ac:dyDescent="0.25">
      <c r="B19" s="7">
        <v>14</v>
      </c>
      <c r="C19" s="7">
        <v>991</v>
      </c>
      <c r="D19" s="6" t="s">
        <v>29</v>
      </c>
      <c r="E19" s="10">
        <v>5</v>
      </c>
      <c r="F19" s="10">
        <v>8.6999999999999993</v>
      </c>
      <c r="G19" s="10">
        <v>0</v>
      </c>
      <c r="H19" s="10">
        <v>9</v>
      </c>
      <c r="I19" s="10" t="e">
        <f>Tareas!Q19</f>
        <v>#DIV/0!</v>
      </c>
      <c r="J19" s="10" t="e">
        <f>#REF!*0.5+Cuaderno!N19*0.5</f>
        <v>#REF!</v>
      </c>
      <c r="K19" s="10">
        <v>0</v>
      </c>
      <c r="L19" s="8" t="e">
        <f t="shared" si="1"/>
        <v>#DIV/0!</v>
      </c>
      <c r="M19" s="6"/>
    </row>
    <row r="20" spans="2:13" ht="15" x14ac:dyDescent="0.25">
      <c r="B20" s="7">
        <v>15</v>
      </c>
      <c r="C20" s="7">
        <v>1006</v>
      </c>
      <c r="D20" s="6" t="s">
        <v>30</v>
      </c>
      <c r="E20" s="10">
        <v>7</v>
      </c>
      <c r="F20" s="10">
        <v>10</v>
      </c>
      <c r="G20" s="10">
        <v>0</v>
      </c>
      <c r="H20" s="10">
        <v>0</v>
      </c>
      <c r="I20" s="10" t="e">
        <f>Tareas!Q20</f>
        <v>#DIV/0!</v>
      </c>
      <c r="J20" s="10" t="e">
        <f>#REF!*0.5+Cuaderno!N20*0.5</f>
        <v>#REF!</v>
      </c>
      <c r="K20" s="10">
        <v>0</v>
      </c>
      <c r="L20" s="8" t="e">
        <f t="shared" si="1"/>
        <v>#DIV/0!</v>
      </c>
      <c r="M20" s="6"/>
    </row>
    <row r="21" spans="2:13" ht="15" x14ac:dyDescent="0.25">
      <c r="B21" s="7">
        <v>16</v>
      </c>
      <c r="C21" s="7">
        <v>1035</v>
      </c>
      <c r="D21" s="6" t="s">
        <v>31</v>
      </c>
      <c r="E21" s="10">
        <v>6</v>
      </c>
      <c r="F21" s="10">
        <v>8</v>
      </c>
      <c r="G21" s="10">
        <v>0</v>
      </c>
      <c r="H21" s="10">
        <v>4</v>
      </c>
      <c r="I21" s="10" t="e">
        <f>Tareas!Q21</f>
        <v>#DIV/0!</v>
      </c>
      <c r="J21" s="10" t="e">
        <f>#REF!*0.5+Cuaderno!N21*0.5</f>
        <v>#REF!</v>
      </c>
      <c r="K21" s="10">
        <v>0</v>
      </c>
      <c r="L21" s="8" t="e">
        <f t="shared" si="1"/>
        <v>#DIV/0!</v>
      </c>
      <c r="M21" s="6"/>
    </row>
    <row r="22" spans="2:13" ht="15" x14ac:dyDescent="0.25">
      <c r="B22" s="7">
        <v>17</v>
      </c>
      <c r="C22" s="7">
        <v>1088</v>
      </c>
      <c r="D22" s="6" t="s">
        <v>32</v>
      </c>
      <c r="E22" s="10">
        <v>9</v>
      </c>
      <c r="F22" s="10">
        <v>10</v>
      </c>
      <c r="G22" s="10">
        <v>0</v>
      </c>
      <c r="H22" s="10">
        <v>9</v>
      </c>
      <c r="I22" s="10" t="e">
        <f>Tareas!Q22</f>
        <v>#DIV/0!</v>
      </c>
      <c r="J22" s="10" t="e">
        <f>#REF!*0.5+Cuaderno!N22*0.5</f>
        <v>#REF!</v>
      </c>
      <c r="K22" s="10">
        <v>0</v>
      </c>
      <c r="L22" s="8" t="e">
        <f t="shared" si="1"/>
        <v>#DIV/0!</v>
      </c>
      <c r="M22" s="6"/>
    </row>
    <row r="23" spans="2:13" ht="15" x14ac:dyDescent="0.25">
      <c r="B23" s="7">
        <v>18</v>
      </c>
      <c r="C23" s="7">
        <v>1016</v>
      </c>
      <c r="D23" s="6" t="s">
        <v>33</v>
      </c>
      <c r="E23" s="11">
        <v>0</v>
      </c>
      <c r="F23" s="11">
        <v>0</v>
      </c>
      <c r="G23" s="10">
        <v>0</v>
      </c>
      <c r="H23" s="10">
        <v>7</v>
      </c>
      <c r="I23" s="10" t="e">
        <f>Tareas!Q23</f>
        <v>#DIV/0!</v>
      </c>
      <c r="J23" s="10" t="e">
        <f>#REF!*0.5+Cuaderno!N23*0.5</f>
        <v>#REF!</v>
      </c>
      <c r="K23" s="10">
        <v>0</v>
      </c>
      <c r="L23" s="8" t="e">
        <f t="shared" si="1"/>
        <v>#DIV/0!</v>
      </c>
      <c r="M23" s="6"/>
    </row>
    <row r="24" spans="2:13" ht="15" x14ac:dyDescent="0.25">
      <c r="B24" s="7">
        <v>19</v>
      </c>
      <c r="C24" s="7">
        <v>1062</v>
      </c>
      <c r="D24" s="6" t="s">
        <v>34</v>
      </c>
      <c r="E24" s="10">
        <v>8</v>
      </c>
      <c r="F24" s="10">
        <v>9.3000000000000007</v>
      </c>
      <c r="G24" s="10">
        <v>0</v>
      </c>
      <c r="H24" s="10">
        <v>3</v>
      </c>
      <c r="I24" s="10" t="e">
        <f>Tareas!Q24</f>
        <v>#DIV/0!</v>
      </c>
      <c r="J24" s="10" t="e">
        <f>#REF!*0.5+Cuaderno!N24*0.5</f>
        <v>#REF!</v>
      </c>
      <c r="K24" s="10">
        <v>0</v>
      </c>
      <c r="L24" s="8" t="e">
        <f t="shared" si="1"/>
        <v>#DIV/0!</v>
      </c>
      <c r="M24" s="6"/>
    </row>
    <row r="25" spans="2:13" ht="15" x14ac:dyDescent="0.25">
      <c r="B25" s="7">
        <v>20</v>
      </c>
      <c r="C25" s="7">
        <v>1029</v>
      </c>
      <c r="D25" s="6" t="s">
        <v>35</v>
      </c>
      <c r="E25" s="10">
        <v>9</v>
      </c>
      <c r="F25" s="10">
        <v>8.6999999999999993</v>
      </c>
      <c r="G25" s="10">
        <v>0</v>
      </c>
      <c r="H25" s="10">
        <v>8</v>
      </c>
      <c r="I25" s="10" t="e">
        <f>Tareas!Q25</f>
        <v>#DIV/0!</v>
      </c>
      <c r="J25" s="10" t="e">
        <f>#REF!*0.5+Cuaderno!N25*0.5</f>
        <v>#REF!</v>
      </c>
      <c r="K25" s="10">
        <v>0</v>
      </c>
      <c r="L25" s="8" t="e">
        <f t="shared" si="1"/>
        <v>#DIV/0!</v>
      </c>
      <c r="M25" s="6"/>
    </row>
    <row r="26" spans="2:13" ht="15" x14ac:dyDescent="0.25">
      <c r="B26" s="7">
        <v>21</v>
      </c>
      <c r="C26" s="7">
        <v>994</v>
      </c>
      <c r="D26" s="6" t="s">
        <v>36</v>
      </c>
      <c r="E26" s="10">
        <v>8</v>
      </c>
      <c r="F26" s="10">
        <v>5.3</v>
      </c>
      <c r="G26" s="10">
        <v>0</v>
      </c>
      <c r="H26" s="10">
        <v>10</v>
      </c>
      <c r="I26" s="10" t="e">
        <f>Tareas!Q26</f>
        <v>#DIV/0!</v>
      </c>
      <c r="J26" s="10" t="e">
        <f>#REF!*0.5+Cuaderno!N26*0.5</f>
        <v>#REF!</v>
      </c>
      <c r="K26" s="10">
        <v>0</v>
      </c>
      <c r="L26" s="8" t="e">
        <f t="shared" si="1"/>
        <v>#DIV/0!</v>
      </c>
      <c r="M26" s="6"/>
    </row>
    <row r="27" spans="2:13" ht="15" x14ac:dyDescent="0.25">
      <c r="B27" s="7">
        <v>22</v>
      </c>
      <c r="C27" s="7">
        <v>799</v>
      </c>
      <c r="D27" s="6" t="s">
        <v>37</v>
      </c>
      <c r="E27" s="10">
        <v>9</v>
      </c>
      <c r="F27" s="10">
        <v>9.3000000000000007</v>
      </c>
      <c r="G27" s="10">
        <v>0</v>
      </c>
      <c r="H27" s="10">
        <v>7</v>
      </c>
      <c r="I27" s="10" t="e">
        <f>Tareas!Q27</f>
        <v>#DIV/0!</v>
      </c>
      <c r="J27" s="10" t="e">
        <f>#REF!*0.5+Cuaderno!N27*0.5</f>
        <v>#REF!</v>
      </c>
      <c r="K27" s="10">
        <v>0</v>
      </c>
      <c r="L27" s="8" t="e">
        <f t="shared" si="1"/>
        <v>#DIV/0!</v>
      </c>
      <c r="M27" s="6"/>
    </row>
    <row r="28" spans="2:13" ht="15" x14ac:dyDescent="0.25">
      <c r="B28" s="7">
        <v>23</v>
      </c>
      <c r="C28" s="7">
        <v>1091</v>
      </c>
      <c r="D28" s="6" t="s">
        <v>38</v>
      </c>
      <c r="E28" s="11">
        <v>0</v>
      </c>
      <c r="F28" s="10">
        <v>3.3</v>
      </c>
      <c r="G28" s="10">
        <v>0</v>
      </c>
      <c r="H28" s="10">
        <v>10</v>
      </c>
      <c r="I28" s="10" t="e">
        <f>Tareas!Q28</f>
        <v>#DIV/0!</v>
      </c>
      <c r="J28" s="10" t="e">
        <f>#REF!*0.5+Cuaderno!N28*0.5</f>
        <v>#REF!</v>
      </c>
      <c r="K28" s="10">
        <v>0</v>
      </c>
      <c r="L28" s="8" t="e">
        <f t="shared" si="1"/>
        <v>#DIV/0!</v>
      </c>
      <c r="M28" s="6"/>
    </row>
    <row r="29" spans="2:13" ht="15" x14ac:dyDescent="0.25">
      <c r="B29" s="7">
        <v>24</v>
      </c>
      <c r="C29" s="7">
        <v>1221</v>
      </c>
      <c r="D29" s="6" t="s">
        <v>39</v>
      </c>
      <c r="E29" s="10">
        <v>10</v>
      </c>
      <c r="F29" s="10">
        <v>6.7</v>
      </c>
      <c r="G29" s="10">
        <v>0</v>
      </c>
      <c r="H29" s="10">
        <v>7</v>
      </c>
      <c r="I29" s="10" t="e">
        <f>Tareas!Q29</f>
        <v>#DIV/0!</v>
      </c>
      <c r="J29" s="10" t="e">
        <f>#REF!*0.5+Cuaderno!N29*0.5</f>
        <v>#REF!</v>
      </c>
      <c r="K29" s="10">
        <v>0</v>
      </c>
      <c r="L29" s="8" t="e">
        <f t="shared" si="1"/>
        <v>#DIV/0!</v>
      </c>
      <c r="M29" s="6"/>
    </row>
    <row r="30" spans="2:13" ht="15" x14ac:dyDescent="0.25">
      <c r="B30" s="43" t="s">
        <v>40</v>
      </c>
      <c r="C30" s="44"/>
      <c r="D30" s="45"/>
      <c r="E30" s="12">
        <f t="shared" ref="E30:L30" si="2">AVERAGE(E6:E29)</f>
        <v>7.4583333333333304</v>
      </c>
      <c r="F30" s="12">
        <f t="shared" si="2"/>
        <v>7.43333333333333</v>
      </c>
      <c r="G30" s="12">
        <f t="shared" si="2"/>
        <v>0</v>
      </c>
      <c r="H30" s="12">
        <f t="shared" si="2"/>
        <v>6.7916666666666696</v>
      </c>
      <c r="I30" s="12" t="e">
        <f t="shared" si="2"/>
        <v>#DIV/0!</v>
      </c>
      <c r="J30" s="12" t="e">
        <f t="shared" si="2"/>
        <v>#REF!</v>
      </c>
      <c r="K30" s="12">
        <f t="shared" si="2"/>
        <v>0</v>
      </c>
      <c r="L30" s="12" t="e">
        <f t="shared" si="2"/>
        <v>#DIV/0!</v>
      </c>
      <c r="M30" s="13"/>
    </row>
  </sheetData>
  <mergeCells count="3">
    <mergeCell ref="B2:D2"/>
    <mergeCell ref="E2:M2"/>
    <mergeCell ref="B30:D30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Q29"/>
  <sheetViews>
    <sheetView zoomScale="81" workbookViewId="0">
      <selection activeCell="Y7" sqref="Y7"/>
    </sheetView>
  </sheetViews>
  <sheetFormatPr defaultColWidth="9.125" defaultRowHeight="14.25" x14ac:dyDescent="0.2"/>
  <cols>
    <col min="1" max="2" width="9.125" style="15"/>
    <col min="3" max="3" width="12.625" style="15" customWidth="1"/>
    <col min="4" max="4" width="34.875" style="15" customWidth="1"/>
    <col min="5" max="5" width="5.875" style="15" bestFit="1" customWidth="1"/>
    <col min="6" max="6" width="10.75" style="15" bestFit="1" customWidth="1"/>
    <col min="7" max="7" width="5.875" style="15" bestFit="1" customWidth="1"/>
    <col min="8" max="14" width="6.75" style="15" customWidth="1"/>
    <col min="15" max="15" width="4.875" style="15" customWidth="1"/>
    <col min="16" max="16" width="6.75" style="15" customWidth="1"/>
    <col min="17" max="17" width="12.375" style="15" customWidth="1"/>
    <col min="18" max="16384" width="9.125" style="15"/>
  </cols>
  <sheetData>
    <row r="2" spans="2:17" ht="15" x14ac:dyDescent="0.25">
      <c r="B2" s="46" t="s">
        <v>0</v>
      </c>
      <c r="C2" s="46"/>
      <c r="D2" s="46"/>
      <c r="E2" s="46" t="s">
        <v>1</v>
      </c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</row>
    <row r="3" spans="2:17" ht="131.25" customHeight="1" x14ac:dyDescent="0.25">
      <c r="B3" s="49"/>
      <c r="C3" s="50"/>
      <c r="D3" s="47" t="s">
        <v>41</v>
      </c>
      <c r="E3" s="18" t="s">
        <v>55</v>
      </c>
      <c r="F3" s="18" t="s">
        <v>56</v>
      </c>
      <c r="G3" s="18" t="s">
        <v>57</v>
      </c>
      <c r="H3" s="18" t="s">
        <v>58</v>
      </c>
      <c r="I3" s="18" t="s">
        <v>59</v>
      </c>
      <c r="J3" s="18" t="s">
        <v>60</v>
      </c>
      <c r="K3" s="18" t="s">
        <v>61</v>
      </c>
      <c r="L3" s="18" t="s">
        <v>62</v>
      </c>
      <c r="M3" s="18" t="s">
        <v>63</v>
      </c>
      <c r="N3" s="40" t="s">
        <v>64</v>
      </c>
      <c r="O3" s="18" t="s">
        <v>65</v>
      </c>
      <c r="P3" s="18" t="s">
        <v>66</v>
      </c>
      <c r="Q3" s="19"/>
    </row>
    <row r="4" spans="2:17" ht="15" x14ac:dyDescent="0.25">
      <c r="B4" s="51"/>
      <c r="C4" s="52"/>
      <c r="D4" s="48"/>
      <c r="E4" s="19">
        <v>1</v>
      </c>
      <c r="F4" s="19">
        <v>2</v>
      </c>
      <c r="G4" s="19">
        <v>3</v>
      </c>
      <c r="H4" s="19">
        <v>4</v>
      </c>
      <c r="I4" s="19">
        <v>5</v>
      </c>
      <c r="J4" s="19">
        <v>6</v>
      </c>
      <c r="K4" s="19">
        <v>7</v>
      </c>
      <c r="L4" s="19">
        <v>8</v>
      </c>
      <c r="M4" s="19">
        <v>9</v>
      </c>
      <c r="N4" s="19">
        <v>10</v>
      </c>
      <c r="O4" s="19">
        <v>11</v>
      </c>
      <c r="P4" s="19">
        <v>12</v>
      </c>
      <c r="Q4" s="19" t="s">
        <v>10</v>
      </c>
    </row>
    <row r="5" spans="2:17" ht="15" x14ac:dyDescent="0.25">
      <c r="B5" s="23" t="s">
        <v>13</v>
      </c>
      <c r="C5" s="23" t="s">
        <v>14</v>
      </c>
      <c r="D5" s="24" t="s">
        <v>15</v>
      </c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16"/>
    </row>
    <row r="6" spans="2:17" ht="15" x14ac:dyDescent="0.25">
      <c r="B6" s="25">
        <v>1</v>
      </c>
      <c r="C6" s="25">
        <v>1045</v>
      </c>
      <c r="D6" s="15" t="s">
        <v>16</v>
      </c>
      <c r="E6" s="26"/>
      <c r="F6" s="26"/>
      <c r="G6" s="26"/>
      <c r="H6" s="26"/>
      <c r="I6" s="26"/>
      <c r="J6" s="26"/>
      <c r="K6" s="26"/>
      <c r="L6" s="27"/>
      <c r="M6" s="26"/>
      <c r="N6" s="26"/>
      <c r="O6" s="26"/>
      <c r="P6" s="26"/>
      <c r="Q6" s="41" t="e">
        <f t="shared" ref="Q6:Q29" si="0">AVERAGE(E6:P6)</f>
        <v>#DIV/0!</v>
      </c>
    </row>
    <row r="7" spans="2:17" ht="15" x14ac:dyDescent="0.25">
      <c r="B7" s="25">
        <v>2</v>
      </c>
      <c r="C7" s="25">
        <v>1060</v>
      </c>
      <c r="D7" s="20" t="s">
        <v>17</v>
      </c>
      <c r="E7" s="26"/>
      <c r="F7" s="27"/>
      <c r="G7" s="26"/>
      <c r="H7" s="26"/>
      <c r="I7" s="26"/>
      <c r="J7" s="26"/>
      <c r="K7" s="26"/>
      <c r="L7" s="27"/>
      <c r="M7" s="26"/>
      <c r="N7" s="27"/>
      <c r="O7" s="27"/>
      <c r="P7" s="27"/>
      <c r="Q7" s="41" t="e">
        <f t="shared" si="0"/>
        <v>#DIV/0!</v>
      </c>
    </row>
    <row r="8" spans="2:17" ht="15" x14ac:dyDescent="0.25">
      <c r="B8" s="31">
        <v>3</v>
      </c>
      <c r="C8" s="31">
        <v>1108</v>
      </c>
      <c r="D8" s="32" t="s">
        <v>18</v>
      </c>
      <c r="E8" s="34"/>
      <c r="F8" s="34"/>
      <c r="G8" s="33"/>
      <c r="H8" s="34"/>
      <c r="I8" s="34"/>
      <c r="J8" s="34"/>
      <c r="K8" s="33"/>
      <c r="L8" s="33"/>
      <c r="M8" s="33"/>
      <c r="N8" s="33"/>
      <c r="O8" s="33"/>
      <c r="P8" s="33"/>
      <c r="Q8" s="41" t="e">
        <f t="shared" si="0"/>
        <v>#DIV/0!</v>
      </c>
    </row>
    <row r="9" spans="2:17" ht="15" x14ac:dyDescent="0.25">
      <c r="B9" s="31">
        <v>4</v>
      </c>
      <c r="C9" s="31">
        <v>876</v>
      </c>
      <c r="D9" s="32" t="s">
        <v>19</v>
      </c>
      <c r="E9" s="33"/>
      <c r="F9" s="34"/>
      <c r="G9" s="34"/>
      <c r="H9" s="34"/>
      <c r="I9" s="34"/>
      <c r="J9" s="34"/>
      <c r="K9" s="34"/>
      <c r="L9" s="33"/>
      <c r="M9" s="34"/>
      <c r="N9" s="34"/>
      <c r="O9" s="34"/>
      <c r="P9" s="34"/>
      <c r="Q9" s="41" t="e">
        <f t="shared" si="0"/>
        <v>#DIV/0!</v>
      </c>
    </row>
    <row r="10" spans="2:17" ht="15" x14ac:dyDescent="0.25">
      <c r="B10" s="31">
        <v>5</v>
      </c>
      <c r="C10" s="31">
        <v>639</v>
      </c>
      <c r="D10" s="32" t="s">
        <v>20</v>
      </c>
      <c r="E10" s="34"/>
      <c r="F10" s="34"/>
      <c r="G10" s="33"/>
      <c r="H10" s="34"/>
      <c r="I10" s="34"/>
      <c r="J10" s="34"/>
      <c r="K10" s="34"/>
      <c r="L10" s="33"/>
      <c r="M10" s="33"/>
      <c r="N10" s="34"/>
      <c r="O10" s="34"/>
      <c r="P10" s="34"/>
      <c r="Q10" s="41" t="e">
        <f t="shared" si="0"/>
        <v>#DIV/0!</v>
      </c>
    </row>
    <row r="11" spans="2:17" ht="15" x14ac:dyDescent="0.25">
      <c r="B11" s="31">
        <v>6</v>
      </c>
      <c r="C11" s="31">
        <v>1224</v>
      </c>
      <c r="D11" s="32" t="s">
        <v>21</v>
      </c>
      <c r="E11" s="34"/>
      <c r="F11" s="34"/>
      <c r="G11" s="34"/>
      <c r="H11" s="34"/>
      <c r="I11" s="34"/>
      <c r="J11" s="34"/>
      <c r="K11" s="34"/>
      <c r="L11" s="33"/>
      <c r="M11" s="34"/>
      <c r="N11" s="34"/>
      <c r="O11" s="34"/>
      <c r="P11" s="34"/>
      <c r="Q11" s="41" t="e">
        <f t="shared" si="0"/>
        <v>#DIV/0!</v>
      </c>
    </row>
    <row r="12" spans="2:17" ht="15" x14ac:dyDescent="0.25">
      <c r="B12" s="31">
        <v>7</v>
      </c>
      <c r="C12" s="31">
        <v>1069</v>
      </c>
      <c r="D12" s="32" t="s">
        <v>22</v>
      </c>
      <c r="E12" s="34"/>
      <c r="F12" s="33"/>
      <c r="G12" s="34"/>
      <c r="H12" s="34"/>
      <c r="I12" s="34"/>
      <c r="J12" s="34"/>
      <c r="K12" s="33"/>
      <c r="L12" s="33"/>
      <c r="M12" s="34"/>
      <c r="N12" s="33"/>
      <c r="O12" s="33"/>
      <c r="P12" s="33"/>
      <c r="Q12" s="41" t="e">
        <f t="shared" si="0"/>
        <v>#DIV/0!</v>
      </c>
    </row>
    <row r="13" spans="2:17" ht="15" x14ac:dyDescent="0.25">
      <c r="B13" s="31">
        <v>8</v>
      </c>
      <c r="C13" s="31">
        <v>1003</v>
      </c>
      <c r="D13" s="32" t="s">
        <v>23</v>
      </c>
      <c r="E13" s="34"/>
      <c r="F13" s="34"/>
      <c r="G13" s="33"/>
      <c r="H13" s="34"/>
      <c r="I13" s="34"/>
      <c r="J13" s="34"/>
      <c r="K13" s="34"/>
      <c r="L13" s="33"/>
      <c r="M13" s="34"/>
      <c r="N13" s="34"/>
      <c r="O13" s="34"/>
      <c r="P13" s="34"/>
      <c r="Q13" s="41" t="e">
        <f t="shared" si="0"/>
        <v>#DIV/0!</v>
      </c>
    </row>
    <row r="14" spans="2:17" ht="15" x14ac:dyDescent="0.25">
      <c r="B14" s="31">
        <v>9</v>
      </c>
      <c r="C14" s="31">
        <v>698</v>
      </c>
      <c r="D14" s="32" t="s">
        <v>24</v>
      </c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41" t="e">
        <f t="shared" si="0"/>
        <v>#DIV/0!</v>
      </c>
    </row>
    <row r="15" spans="2:17" ht="15" x14ac:dyDescent="0.25">
      <c r="B15" s="31">
        <v>10</v>
      </c>
      <c r="C15" s="31">
        <v>1004</v>
      </c>
      <c r="D15" s="32" t="s">
        <v>25</v>
      </c>
      <c r="E15" s="34"/>
      <c r="F15" s="34"/>
      <c r="G15" s="34"/>
      <c r="H15" s="34"/>
      <c r="I15" s="34"/>
      <c r="J15" s="34"/>
      <c r="K15" s="34"/>
      <c r="L15" s="33"/>
      <c r="M15" s="34"/>
      <c r="N15" s="34"/>
      <c r="O15" s="34"/>
      <c r="P15" s="34"/>
      <c r="Q15" s="41" t="e">
        <f t="shared" si="0"/>
        <v>#DIV/0!</v>
      </c>
    </row>
    <row r="16" spans="2:17" ht="15" x14ac:dyDescent="0.25">
      <c r="B16" s="31">
        <v>11</v>
      </c>
      <c r="C16" s="31">
        <v>1214</v>
      </c>
      <c r="D16" s="32" t="s">
        <v>26</v>
      </c>
      <c r="E16" s="34"/>
      <c r="F16" s="34"/>
      <c r="G16" s="34"/>
      <c r="H16" s="34"/>
      <c r="I16" s="34"/>
      <c r="J16" s="34"/>
      <c r="K16" s="34"/>
      <c r="L16" s="33"/>
      <c r="M16" s="34"/>
      <c r="N16" s="34"/>
      <c r="O16" s="34"/>
      <c r="P16" s="34"/>
      <c r="Q16" s="41" t="e">
        <f t="shared" si="0"/>
        <v>#DIV/0!</v>
      </c>
    </row>
    <row r="17" spans="2:17" ht="15" x14ac:dyDescent="0.25">
      <c r="B17" s="31">
        <v>12</v>
      </c>
      <c r="C17" s="31">
        <v>1083</v>
      </c>
      <c r="D17" s="32" t="s">
        <v>27</v>
      </c>
      <c r="E17" s="34"/>
      <c r="F17" s="34"/>
      <c r="G17" s="34"/>
      <c r="H17" s="34"/>
      <c r="I17" s="34"/>
      <c r="J17" s="34"/>
      <c r="K17" s="34"/>
      <c r="L17" s="33"/>
      <c r="M17" s="33"/>
      <c r="N17" s="34"/>
      <c r="O17" s="34"/>
      <c r="P17" s="34"/>
      <c r="Q17" s="41" t="e">
        <f t="shared" si="0"/>
        <v>#DIV/0!</v>
      </c>
    </row>
    <row r="18" spans="2:17" ht="15" x14ac:dyDescent="0.25">
      <c r="B18" s="31">
        <v>13</v>
      </c>
      <c r="C18" s="31">
        <v>1006</v>
      </c>
      <c r="D18" s="32" t="s">
        <v>28</v>
      </c>
      <c r="E18" s="34"/>
      <c r="F18" s="34"/>
      <c r="G18" s="34"/>
      <c r="H18" s="34"/>
      <c r="I18" s="34"/>
      <c r="J18" s="34"/>
      <c r="K18" s="34"/>
      <c r="L18" s="33"/>
      <c r="M18" s="34"/>
      <c r="N18" s="34"/>
      <c r="O18" s="34"/>
      <c r="P18" s="34"/>
      <c r="Q18" s="41" t="e">
        <f t="shared" si="0"/>
        <v>#DIV/0!</v>
      </c>
    </row>
    <row r="19" spans="2:17" ht="15" x14ac:dyDescent="0.25">
      <c r="B19" s="31">
        <v>14</v>
      </c>
      <c r="C19" s="31">
        <v>991</v>
      </c>
      <c r="D19" s="32" t="s">
        <v>29</v>
      </c>
      <c r="E19" s="34"/>
      <c r="F19" s="34"/>
      <c r="G19" s="33"/>
      <c r="H19" s="34"/>
      <c r="I19" s="34"/>
      <c r="J19" s="34"/>
      <c r="K19" s="33"/>
      <c r="L19" s="33"/>
      <c r="M19" s="34"/>
      <c r="N19" s="34"/>
      <c r="O19" s="34"/>
      <c r="P19" s="34"/>
      <c r="Q19" s="41" t="e">
        <f t="shared" si="0"/>
        <v>#DIV/0!</v>
      </c>
    </row>
    <row r="20" spans="2:17" ht="15" x14ac:dyDescent="0.25">
      <c r="B20" s="31">
        <v>15</v>
      </c>
      <c r="C20" s="31">
        <v>1006</v>
      </c>
      <c r="D20" s="32" t="s">
        <v>30</v>
      </c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41" t="e">
        <f t="shared" si="0"/>
        <v>#DIV/0!</v>
      </c>
    </row>
    <row r="21" spans="2:17" ht="15" x14ac:dyDescent="0.25">
      <c r="B21" s="31">
        <v>16</v>
      </c>
      <c r="C21" s="31">
        <v>1035</v>
      </c>
      <c r="D21" s="32" t="s">
        <v>31</v>
      </c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41" t="e">
        <f t="shared" si="0"/>
        <v>#DIV/0!</v>
      </c>
    </row>
    <row r="22" spans="2:17" ht="15" x14ac:dyDescent="0.25">
      <c r="B22" s="31">
        <v>17</v>
      </c>
      <c r="C22" s="31">
        <v>1088</v>
      </c>
      <c r="D22" s="32" t="s">
        <v>32</v>
      </c>
      <c r="E22" s="34"/>
      <c r="F22" s="34"/>
      <c r="G22" s="34"/>
      <c r="H22" s="34"/>
      <c r="I22" s="34"/>
      <c r="J22" s="34"/>
      <c r="K22" s="34"/>
      <c r="L22" s="33"/>
      <c r="M22" s="34"/>
      <c r="N22" s="34"/>
      <c r="O22" s="34"/>
      <c r="P22" s="34"/>
      <c r="Q22" s="41" t="e">
        <f t="shared" si="0"/>
        <v>#DIV/0!</v>
      </c>
    </row>
    <row r="23" spans="2:17" ht="15" x14ac:dyDescent="0.25">
      <c r="B23" s="31">
        <v>18</v>
      </c>
      <c r="C23" s="31">
        <v>1016</v>
      </c>
      <c r="D23" s="32" t="s">
        <v>33</v>
      </c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41" t="e">
        <f t="shared" si="0"/>
        <v>#DIV/0!</v>
      </c>
    </row>
    <row r="24" spans="2:17" ht="15" x14ac:dyDescent="0.25">
      <c r="B24" s="31">
        <v>19</v>
      </c>
      <c r="C24" s="31">
        <v>1062</v>
      </c>
      <c r="D24" s="32" t="s">
        <v>34</v>
      </c>
      <c r="E24" s="34"/>
      <c r="F24" s="34"/>
      <c r="G24" s="34"/>
      <c r="H24" s="34"/>
      <c r="I24" s="34"/>
      <c r="J24" s="34"/>
      <c r="K24" s="34"/>
      <c r="L24" s="33"/>
      <c r="M24" s="34"/>
      <c r="N24" s="34"/>
      <c r="O24" s="34"/>
      <c r="P24" s="34"/>
      <c r="Q24" s="41" t="e">
        <f t="shared" si="0"/>
        <v>#DIV/0!</v>
      </c>
    </row>
    <row r="25" spans="2:17" ht="15" x14ac:dyDescent="0.25">
      <c r="B25" s="31">
        <v>20</v>
      </c>
      <c r="C25" s="31">
        <v>1029</v>
      </c>
      <c r="D25" s="32" t="s">
        <v>35</v>
      </c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41" t="e">
        <f t="shared" si="0"/>
        <v>#DIV/0!</v>
      </c>
    </row>
    <row r="26" spans="2:17" ht="15" x14ac:dyDescent="0.25">
      <c r="B26" s="25">
        <v>21</v>
      </c>
      <c r="C26" s="25">
        <v>994</v>
      </c>
      <c r="D26" s="20" t="s">
        <v>36</v>
      </c>
      <c r="E26" s="27"/>
      <c r="F26" s="26"/>
      <c r="G26" s="26"/>
      <c r="H26" s="26"/>
      <c r="I26" s="26"/>
      <c r="J26" s="26"/>
      <c r="K26" s="26"/>
      <c r="L26" s="27"/>
      <c r="M26" s="26"/>
      <c r="N26" s="26"/>
      <c r="O26" s="26"/>
      <c r="P26" s="26"/>
      <c r="Q26" s="41" t="e">
        <f t="shared" si="0"/>
        <v>#DIV/0!</v>
      </c>
    </row>
    <row r="27" spans="2:17" ht="15" x14ac:dyDescent="0.25">
      <c r="B27" s="25">
        <v>22</v>
      </c>
      <c r="C27" s="25">
        <v>799</v>
      </c>
      <c r="D27" s="20" t="s">
        <v>37</v>
      </c>
      <c r="E27" s="26"/>
      <c r="F27" s="26"/>
      <c r="G27" s="26"/>
      <c r="H27" s="26"/>
      <c r="I27" s="26"/>
      <c r="J27" s="26"/>
      <c r="K27" s="26"/>
      <c r="L27" s="27"/>
      <c r="M27" s="26"/>
      <c r="N27" s="26"/>
      <c r="O27" s="26"/>
      <c r="P27" s="26"/>
      <c r="Q27" s="41" t="e">
        <f t="shared" si="0"/>
        <v>#DIV/0!</v>
      </c>
    </row>
    <row r="28" spans="2:17" ht="15" x14ac:dyDescent="0.25">
      <c r="B28" s="25">
        <v>23</v>
      </c>
      <c r="C28" s="25">
        <v>1091</v>
      </c>
      <c r="D28" s="20" t="s">
        <v>38</v>
      </c>
      <c r="E28" s="27"/>
      <c r="F28" s="26"/>
      <c r="G28" s="27"/>
      <c r="H28" s="26"/>
      <c r="I28" s="26"/>
      <c r="J28" s="26"/>
      <c r="K28" s="26"/>
      <c r="L28" s="27"/>
      <c r="M28" s="26"/>
      <c r="N28" s="26"/>
      <c r="O28" s="26"/>
      <c r="P28" s="26"/>
      <c r="Q28" s="41" t="e">
        <f t="shared" si="0"/>
        <v>#DIV/0!</v>
      </c>
    </row>
    <row r="29" spans="2:17" ht="15" x14ac:dyDescent="0.25">
      <c r="B29" s="25">
        <v>24</v>
      </c>
      <c r="C29" s="25">
        <v>1221</v>
      </c>
      <c r="D29" s="20" t="s">
        <v>39</v>
      </c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41" t="e">
        <f t="shared" si="0"/>
        <v>#DIV/0!</v>
      </c>
    </row>
  </sheetData>
  <mergeCells count="4">
    <mergeCell ref="B2:D2"/>
    <mergeCell ref="E2:Q2"/>
    <mergeCell ref="D3:D4"/>
    <mergeCell ref="B3:C4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Q31"/>
  <sheetViews>
    <sheetView zoomScale="85" zoomScaleNormal="85" workbookViewId="0">
      <selection activeCell="Q8" sqref="Q8"/>
    </sheetView>
  </sheetViews>
  <sheetFormatPr defaultColWidth="9.125" defaultRowHeight="14.25" x14ac:dyDescent="0.2"/>
  <cols>
    <col min="1" max="2" width="9.125" style="15"/>
    <col min="3" max="3" width="12.625" style="15" customWidth="1"/>
    <col min="4" max="4" width="34.875" style="15" customWidth="1"/>
    <col min="5" max="5" width="5.875" style="15" bestFit="1" customWidth="1"/>
    <col min="6" max="7" width="8.375" style="15" bestFit="1" customWidth="1"/>
    <col min="8" max="8" width="5.875" style="15" bestFit="1" customWidth="1"/>
    <col min="9" max="9" width="4.75" style="15" customWidth="1"/>
    <col min="10" max="10" width="5.875" style="15" bestFit="1" customWidth="1"/>
    <col min="11" max="11" width="4.75" style="15" customWidth="1"/>
    <col min="12" max="12" width="5.875" style="15" bestFit="1" customWidth="1"/>
    <col min="13" max="13" width="4.75" style="15" customWidth="1"/>
    <col min="14" max="14" width="12.375" style="15" customWidth="1"/>
    <col min="15" max="16" width="9.125" style="15"/>
    <col min="17" max="17" width="12.75" style="15"/>
    <col min="18" max="16384" width="9.125" style="15"/>
  </cols>
  <sheetData>
    <row r="2" spans="2:17" ht="15" x14ac:dyDescent="0.25">
      <c r="B2" s="46" t="s">
        <v>0</v>
      </c>
      <c r="C2" s="46"/>
      <c r="D2" s="46"/>
      <c r="E2" s="14"/>
      <c r="F2" s="46"/>
      <c r="G2" s="46"/>
      <c r="H2" s="46"/>
      <c r="I2" s="46"/>
      <c r="J2" s="46"/>
      <c r="K2" s="46"/>
      <c r="L2" s="46"/>
      <c r="M2" s="46"/>
      <c r="N2" s="46"/>
    </row>
    <row r="3" spans="2:17" ht="117.75" customHeight="1" x14ac:dyDescent="0.25">
      <c r="B3" s="16"/>
      <c r="C3" s="16"/>
      <c r="D3" s="17" t="s">
        <v>42</v>
      </c>
      <c r="E3" s="18" t="s">
        <v>46</v>
      </c>
      <c r="F3" s="18" t="s">
        <v>47</v>
      </c>
      <c r="G3" s="18" t="s">
        <v>48</v>
      </c>
      <c r="H3" s="18" t="s">
        <v>49</v>
      </c>
      <c r="I3" s="18" t="s">
        <v>50</v>
      </c>
      <c r="J3" s="18" t="s">
        <v>51</v>
      </c>
      <c r="K3" s="18" t="s">
        <v>52</v>
      </c>
      <c r="L3" s="18" t="s">
        <v>53</v>
      </c>
      <c r="M3" s="18" t="s">
        <v>54</v>
      </c>
      <c r="N3" s="35" t="s">
        <v>10</v>
      </c>
    </row>
    <row r="4" spans="2:17" ht="15" customHeight="1" x14ac:dyDescent="0.2">
      <c r="B4" s="20"/>
      <c r="C4" s="20"/>
      <c r="D4" s="21" t="s">
        <v>43</v>
      </c>
      <c r="E4" s="22">
        <v>1</v>
      </c>
      <c r="F4" s="22">
        <v>2</v>
      </c>
      <c r="G4" s="22">
        <v>3</v>
      </c>
      <c r="H4" s="22">
        <v>4</v>
      </c>
      <c r="I4" s="22">
        <v>5</v>
      </c>
      <c r="J4" s="22">
        <v>6</v>
      </c>
      <c r="K4" s="22">
        <v>7</v>
      </c>
      <c r="L4" s="22">
        <v>8</v>
      </c>
      <c r="M4" s="22">
        <v>9</v>
      </c>
      <c r="N4" s="36"/>
    </row>
    <row r="5" spans="2:17" ht="15" x14ac:dyDescent="0.25">
      <c r="B5" s="23" t="s">
        <v>13</v>
      </c>
      <c r="C5" s="23" t="s">
        <v>14</v>
      </c>
      <c r="D5" s="24" t="s">
        <v>15</v>
      </c>
      <c r="E5" s="24"/>
      <c r="F5" s="22"/>
      <c r="G5" s="22"/>
      <c r="H5" s="22"/>
      <c r="I5" s="22"/>
      <c r="J5" s="22"/>
      <c r="K5" s="22"/>
      <c r="L5" s="22"/>
      <c r="M5" s="22"/>
      <c r="N5" s="37"/>
    </row>
    <row r="6" spans="2:17" ht="15" x14ac:dyDescent="0.2">
      <c r="B6" s="25">
        <v>1</v>
      </c>
      <c r="C6" s="25">
        <v>1045</v>
      </c>
      <c r="D6" s="15" t="s">
        <v>16</v>
      </c>
      <c r="E6" s="26"/>
      <c r="F6" s="26"/>
      <c r="G6" s="26"/>
      <c r="H6" s="26"/>
      <c r="I6" s="26"/>
      <c r="J6" s="26"/>
      <c r="K6" s="26"/>
      <c r="L6" s="27"/>
      <c r="M6" s="27"/>
      <c r="N6" s="38" t="e">
        <f t="shared" ref="N6:N29" si="0">AVERAGE(E6:L6)</f>
        <v>#DIV/0!</v>
      </c>
      <c r="P6" s="28"/>
    </row>
    <row r="7" spans="2:17" ht="15" x14ac:dyDescent="0.2">
      <c r="B7" s="25">
        <v>2</v>
      </c>
      <c r="C7" s="25">
        <v>1060</v>
      </c>
      <c r="D7" s="20" t="s">
        <v>17</v>
      </c>
      <c r="E7" s="27"/>
      <c r="F7" s="27"/>
      <c r="G7" s="27"/>
      <c r="H7" s="27"/>
      <c r="I7" s="26"/>
      <c r="J7" s="27"/>
      <c r="K7" s="26"/>
      <c r="L7" s="27"/>
      <c r="M7" s="27"/>
      <c r="N7" s="38" t="e">
        <f t="shared" si="0"/>
        <v>#DIV/0!</v>
      </c>
      <c r="P7" s="28"/>
    </row>
    <row r="8" spans="2:17" ht="15" x14ac:dyDescent="0.2">
      <c r="B8" s="25">
        <v>3</v>
      </c>
      <c r="C8" s="25">
        <v>1108</v>
      </c>
      <c r="D8" s="20" t="s">
        <v>18</v>
      </c>
      <c r="E8" s="27"/>
      <c r="F8" s="27"/>
      <c r="G8" s="27"/>
      <c r="H8" s="27"/>
      <c r="I8" s="26"/>
      <c r="J8" s="27"/>
      <c r="K8" s="27"/>
      <c r="L8" s="27"/>
      <c r="M8" s="27"/>
      <c r="N8" s="38" t="e">
        <f t="shared" si="0"/>
        <v>#DIV/0!</v>
      </c>
      <c r="P8" s="28"/>
    </row>
    <row r="9" spans="2:17" ht="15" x14ac:dyDescent="0.2">
      <c r="B9" s="25">
        <v>4</v>
      </c>
      <c r="C9" s="25">
        <v>876</v>
      </c>
      <c r="D9" s="20" t="s">
        <v>19</v>
      </c>
      <c r="E9" s="27"/>
      <c r="F9" s="27"/>
      <c r="G9" s="27"/>
      <c r="H9" s="27"/>
      <c r="I9" s="27"/>
      <c r="J9" s="26"/>
      <c r="K9" s="26"/>
      <c r="L9" s="27"/>
      <c r="M9" s="27"/>
      <c r="N9" s="38" t="e">
        <f t="shared" si="0"/>
        <v>#DIV/0!</v>
      </c>
      <c r="P9" s="28"/>
    </row>
    <row r="10" spans="2:17" ht="15" x14ac:dyDescent="0.2">
      <c r="B10" s="25">
        <v>5</v>
      </c>
      <c r="C10" s="25">
        <v>639</v>
      </c>
      <c r="D10" s="20" t="s">
        <v>20</v>
      </c>
      <c r="E10" s="27"/>
      <c r="F10" s="27"/>
      <c r="G10" s="27"/>
      <c r="H10" s="27"/>
      <c r="I10" s="27"/>
      <c r="J10" s="27"/>
      <c r="K10" s="27"/>
      <c r="L10" s="27"/>
      <c r="M10" s="27"/>
      <c r="N10" s="38" t="e">
        <f t="shared" si="0"/>
        <v>#DIV/0!</v>
      </c>
      <c r="P10" s="28"/>
    </row>
    <row r="11" spans="2:17" ht="15" x14ac:dyDescent="0.2">
      <c r="B11" s="25">
        <v>6</v>
      </c>
      <c r="C11" s="25">
        <v>1224</v>
      </c>
      <c r="D11" s="20" t="s">
        <v>21</v>
      </c>
      <c r="E11" s="27"/>
      <c r="F11" s="26"/>
      <c r="G11" s="27"/>
      <c r="H11" s="26"/>
      <c r="I11" s="26"/>
      <c r="J11" s="27"/>
      <c r="K11" s="26"/>
      <c r="L11" s="27"/>
      <c r="M11" s="27"/>
      <c r="N11" s="38" t="e">
        <f t="shared" si="0"/>
        <v>#DIV/0!</v>
      </c>
      <c r="P11" s="28"/>
    </row>
    <row r="12" spans="2:17" ht="15" x14ac:dyDescent="0.2">
      <c r="B12" s="25">
        <v>7</v>
      </c>
      <c r="C12" s="25">
        <v>1069</v>
      </c>
      <c r="D12" s="20" t="s">
        <v>22</v>
      </c>
      <c r="E12" s="26"/>
      <c r="F12" s="26"/>
      <c r="G12" s="27"/>
      <c r="H12" s="26"/>
      <c r="I12" s="26"/>
      <c r="J12" s="26"/>
      <c r="K12" s="26"/>
      <c r="L12" s="26"/>
      <c r="M12" s="26"/>
      <c r="N12" s="38" t="e">
        <f t="shared" si="0"/>
        <v>#DIV/0!</v>
      </c>
      <c r="O12" s="29"/>
      <c r="P12" s="28"/>
      <c r="Q12" s="29"/>
    </row>
    <row r="13" spans="2:17" ht="15" x14ac:dyDescent="0.2">
      <c r="B13" s="25">
        <v>8</v>
      </c>
      <c r="C13" s="25">
        <v>1003</v>
      </c>
      <c r="D13" s="20" t="s">
        <v>23</v>
      </c>
      <c r="E13" s="27"/>
      <c r="F13" s="27"/>
      <c r="G13" s="27"/>
      <c r="H13" s="27"/>
      <c r="I13" s="27"/>
      <c r="J13" s="27"/>
      <c r="K13" s="26"/>
      <c r="L13" s="27"/>
      <c r="M13" s="27"/>
      <c r="N13" s="38" t="e">
        <f t="shared" si="0"/>
        <v>#DIV/0!</v>
      </c>
      <c r="O13" s="29"/>
      <c r="P13" s="28"/>
      <c r="Q13" s="29"/>
    </row>
    <row r="14" spans="2:17" ht="15" x14ac:dyDescent="0.2">
      <c r="B14" s="31">
        <v>9</v>
      </c>
      <c r="C14" s="31">
        <v>698</v>
      </c>
      <c r="D14" s="32" t="s">
        <v>24</v>
      </c>
      <c r="E14" s="33"/>
      <c r="F14" s="33"/>
      <c r="G14" s="33"/>
      <c r="H14" s="33"/>
      <c r="I14" s="33"/>
      <c r="J14" s="33"/>
      <c r="K14" s="33"/>
      <c r="L14" s="33"/>
      <c r="M14" s="33"/>
      <c r="N14" s="38" t="e">
        <f t="shared" si="0"/>
        <v>#DIV/0!</v>
      </c>
      <c r="O14" s="29"/>
      <c r="P14" s="28"/>
      <c r="Q14" s="29"/>
    </row>
    <row r="15" spans="2:17" ht="15" x14ac:dyDescent="0.2">
      <c r="B15" s="31">
        <v>10</v>
      </c>
      <c r="C15" s="31">
        <v>1004</v>
      </c>
      <c r="D15" s="32" t="s">
        <v>25</v>
      </c>
      <c r="E15" s="33"/>
      <c r="F15" s="34"/>
      <c r="G15" s="33"/>
      <c r="H15" s="33"/>
      <c r="I15" s="33"/>
      <c r="J15" s="33"/>
      <c r="K15" s="34"/>
      <c r="L15" s="34"/>
      <c r="M15" s="34"/>
      <c r="N15" s="38" t="e">
        <f t="shared" si="0"/>
        <v>#DIV/0!</v>
      </c>
      <c r="O15" s="29"/>
      <c r="P15" s="28"/>
      <c r="Q15" s="29"/>
    </row>
    <row r="16" spans="2:17" ht="15" x14ac:dyDescent="0.2">
      <c r="B16" s="31">
        <v>11</v>
      </c>
      <c r="C16" s="31">
        <v>1214</v>
      </c>
      <c r="D16" s="32" t="s">
        <v>26</v>
      </c>
      <c r="E16" s="33"/>
      <c r="F16" s="33"/>
      <c r="G16" s="33"/>
      <c r="H16" s="34"/>
      <c r="I16" s="33"/>
      <c r="J16" s="33"/>
      <c r="K16" s="34"/>
      <c r="L16" s="33"/>
      <c r="M16" s="33"/>
      <c r="N16" s="38" t="e">
        <f t="shared" si="0"/>
        <v>#DIV/0!</v>
      </c>
      <c r="O16" s="29"/>
      <c r="P16" s="28"/>
      <c r="Q16" s="29"/>
    </row>
    <row r="17" spans="2:17" ht="15" x14ac:dyDescent="0.2">
      <c r="B17" s="31">
        <v>12</v>
      </c>
      <c r="C17" s="31">
        <v>1083</v>
      </c>
      <c r="D17" s="32" t="s">
        <v>27</v>
      </c>
      <c r="E17" s="34"/>
      <c r="F17" s="34"/>
      <c r="G17" s="34"/>
      <c r="H17" s="34"/>
      <c r="I17" s="34"/>
      <c r="J17" s="34"/>
      <c r="K17" s="34"/>
      <c r="L17" s="34"/>
      <c r="M17" s="34"/>
      <c r="N17" s="38" t="e">
        <f t="shared" si="0"/>
        <v>#DIV/0!</v>
      </c>
      <c r="O17" s="29"/>
      <c r="P17" s="28"/>
      <c r="Q17" s="29"/>
    </row>
    <row r="18" spans="2:17" ht="15" x14ac:dyDescent="0.2">
      <c r="B18" s="31">
        <v>13</v>
      </c>
      <c r="C18" s="31">
        <v>1006</v>
      </c>
      <c r="D18" s="32" t="s">
        <v>28</v>
      </c>
      <c r="E18" s="34"/>
      <c r="F18" s="34"/>
      <c r="G18" s="34"/>
      <c r="H18" s="34"/>
      <c r="I18" s="34"/>
      <c r="J18" s="34"/>
      <c r="K18" s="34"/>
      <c r="L18" s="33"/>
      <c r="M18" s="33"/>
      <c r="N18" s="38" t="e">
        <f t="shared" si="0"/>
        <v>#DIV/0!</v>
      </c>
      <c r="O18" s="29"/>
      <c r="P18" s="28"/>
      <c r="Q18" s="29"/>
    </row>
    <row r="19" spans="2:17" ht="15" x14ac:dyDescent="0.2">
      <c r="B19" s="31">
        <v>14</v>
      </c>
      <c r="C19" s="31">
        <v>991</v>
      </c>
      <c r="D19" s="32" t="s">
        <v>29</v>
      </c>
      <c r="E19" s="33"/>
      <c r="F19" s="33"/>
      <c r="G19" s="33"/>
      <c r="H19" s="33"/>
      <c r="I19" s="33"/>
      <c r="J19" s="33"/>
      <c r="K19" s="33"/>
      <c r="L19" s="33"/>
      <c r="M19" s="33"/>
      <c r="N19" s="38" t="e">
        <f t="shared" si="0"/>
        <v>#DIV/0!</v>
      </c>
      <c r="O19" s="29"/>
      <c r="P19" s="28"/>
      <c r="Q19" s="29"/>
    </row>
    <row r="20" spans="2:17" ht="15" x14ac:dyDescent="0.2">
      <c r="B20" s="31">
        <v>15</v>
      </c>
      <c r="C20" s="31">
        <v>1006</v>
      </c>
      <c r="D20" s="32" t="s">
        <v>30</v>
      </c>
      <c r="E20" s="33"/>
      <c r="F20" s="33"/>
      <c r="G20" s="33"/>
      <c r="H20" s="33"/>
      <c r="I20" s="33"/>
      <c r="J20" s="33"/>
      <c r="K20" s="33"/>
      <c r="L20" s="33"/>
      <c r="M20" s="33"/>
      <c r="N20" s="38" t="e">
        <f t="shared" si="0"/>
        <v>#DIV/0!</v>
      </c>
      <c r="O20" s="29"/>
      <c r="P20" s="28"/>
      <c r="Q20" s="29"/>
    </row>
    <row r="21" spans="2:17" ht="15" x14ac:dyDescent="0.2">
      <c r="B21" s="31">
        <v>16</v>
      </c>
      <c r="C21" s="31">
        <v>1035</v>
      </c>
      <c r="D21" s="32" t="s">
        <v>31</v>
      </c>
      <c r="E21" s="33"/>
      <c r="F21" s="33"/>
      <c r="G21" s="33"/>
      <c r="H21" s="33"/>
      <c r="I21" s="33"/>
      <c r="J21" s="33"/>
      <c r="K21" s="33"/>
      <c r="L21" s="33"/>
      <c r="M21" s="33"/>
      <c r="N21" s="38" t="e">
        <f t="shared" si="0"/>
        <v>#DIV/0!</v>
      </c>
      <c r="O21" s="29"/>
      <c r="P21" s="28"/>
      <c r="Q21" s="29"/>
    </row>
    <row r="22" spans="2:17" ht="15" x14ac:dyDescent="0.2">
      <c r="B22" s="31">
        <v>17</v>
      </c>
      <c r="C22" s="31">
        <v>1088</v>
      </c>
      <c r="D22" s="32" t="s">
        <v>32</v>
      </c>
      <c r="E22" s="34"/>
      <c r="F22" s="34"/>
      <c r="G22" s="33"/>
      <c r="H22" s="33"/>
      <c r="I22" s="33"/>
      <c r="J22" s="33"/>
      <c r="K22" s="33"/>
      <c r="L22" s="33"/>
      <c r="M22" s="33"/>
      <c r="N22" s="38" t="e">
        <f t="shared" si="0"/>
        <v>#DIV/0!</v>
      </c>
      <c r="O22" s="29"/>
      <c r="P22" s="28"/>
      <c r="Q22" s="29"/>
    </row>
    <row r="23" spans="2:17" ht="15" x14ac:dyDescent="0.2">
      <c r="B23" s="31">
        <v>18</v>
      </c>
      <c r="C23" s="31">
        <v>1016</v>
      </c>
      <c r="D23" s="32" t="s">
        <v>33</v>
      </c>
      <c r="E23" s="33"/>
      <c r="F23" s="33"/>
      <c r="G23" s="33"/>
      <c r="H23" s="33"/>
      <c r="I23" s="33"/>
      <c r="J23" s="33"/>
      <c r="K23" s="33"/>
      <c r="L23" s="33"/>
      <c r="M23" s="33"/>
      <c r="N23" s="38" t="e">
        <f t="shared" si="0"/>
        <v>#DIV/0!</v>
      </c>
      <c r="O23" s="29"/>
      <c r="P23" s="28"/>
      <c r="Q23" s="29"/>
    </row>
    <row r="24" spans="2:17" ht="15" x14ac:dyDescent="0.2">
      <c r="B24" s="31">
        <v>19</v>
      </c>
      <c r="C24" s="31">
        <v>1062</v>
      </c>
      <c r="D24" s="32" t="s">
        <v>34</v>
      </c>
      <c r="E24" s="33"/>
      <c r="F24" s="34"/>
      <c r="G24" s="33"/>
      <c r="H24" s="34"/>
      <c r="I24" s="34"/>
      <c r="J24" s="33"/>
      <c r="K24" s="34"/>
      <c r="L24" s="33"/>
      <c r="M24" s="33"/>
      <c r="N24" s="38" t="e">
        <f t="shared" si="0"/>
        <v>#DIV/0!</v>
      </c>
      <c r="O24" s="29"/>
      <c r="P24" s="28"/>
      <c r="Q24" s="29"/>
    </row>
    <row r="25" spans="2:17" ht="15" x14ac:dyDescent="0.2">
      <c r="B25" s="31">
        <v>20</v>
      </c>
      <c r="C25" s="31">
        <v>1029</v>
      </c>
      <c r="D25" s="32" t="s">
        <v>35</v>
      </c>
      <c r="E25" s="33"/>
      <c r="F25" s="33"/>
      <c r="G25" s="33"/>
      <c r="H25" s="33"/>
      <c r="I25" s="33"/>
      <c r="J25" s="33"/>
      <c r="K25" s="33"/>
      <c r="L25" s="33"/>
      <c r="M25" s="33"/>
      <c r="N25" s="38" t="e">
        <f t="shared" si="0"/>
        <v>#DIV/0!</v>
      </c>
      <c r="O25" s="29"/>
      <c r="P25" s="28"/>
      <c r="Q25" s="29"/>
    </row>
    <row r="26" spans="2:17" ht="15" x14ac:dyDescent="0.2">
      <c r="B26" s="25">
        <v>21</v>
      </c>
      <c r="C26" s="25">
        <v>994</v>
      </c>
      <c r="D26" s="20" t="s">
        <v>36</v>
      </c>
      <c r="E26" s="27"/>
      <c r="F26" s="27"/>
      <c r="G26" s="27"/>
      <c r="H26" s="27"/>
      <c r="I26" s="27"/>
      <c r="J26" s="27"/>
      <c r="K26" s="27"/>
      <c r="L26" s="27"/>
      <c r="M26" s="27"/>
      <c r="N26" s="38" t="e">
        <f t="shared" si="0"/>
        <v>#DIV/0!</v>
      </c>
      <c r="O26" s="29"/>
      <c r="P26" s="28"/>
      <c r="Q26" s="29"/>
    </row>
    <row r="27" spans="2:17" ht="15" x14ac:dyDescent="0.2">
      <c r="B27" s="25">
        <v>22</v>
      </c>
      <c r="C27" s="25">
        <v>799</v>
      </c>
      <c r="D27" s="20" t="s">
        <v>37</v>
      </c>
      <c r="E27" s="27"/>
      <c r="F27" s="26"/>
      <c r="G27" s="27"/>
      <c r="H27" s="26"/>
      <c r="I27" s="27"/>
      <c r="J27" s="27"/>
      <c r="K27" s="26"/>
      <c r="L27" s="27"/>
      <c r="M27" s="27"/>
      <c r="N27" s="38" t="e">
        <f t="shared" si="0"/>
        <v>#DIV/0!</v>
      </c>
      <c r="O27" s="29"/>
      <c r="P27" s="28"/>
      <c r="Q27" s="29"/>
    </row>
    <row r="28" spans="2:17" ht="15" x14ac:dyDescent="0.2">
      <c r="B28" s="25">
        <v>23</v>
      </c>
      <c r="C28" s="25">
        <v>1091</v>
      </c>
      <c r="D28" s="20" t="s">
        <v>38</v>
      </c>
      <c r="E28" s="27"/>
      <c r="F28" s="27"/>
      <c r="G28" s="27"/>
      <c r="H28" s="27"/>
      <c r="I28" s="27"/>
      <c r="J28" s="27"/>
      <c r="K28" s="27"/>
      <c r="L28" s="27"/>
      <c r="M28" s="27"/>
      <c r="N28" s="38" t="e">
        <f t="shared" si="0"/>
        <v>#DIV/0!</v>
      </c>
      <c r="O28" s="29"/>
      <c r="P28" s="28"/>
      <c r="Q28" s="29"/>
    </row>
    <row r="29" spans="2:17" ht="15" x14ac:dyDescent="0.2">
      <c r="B29" s="25">
        <v>24</v>
      </c>
      <c r="C29" s="25">
        <v>1221</v>
      </c>
      <c r="D29" s="20" t="s">
        <v>39</v>
      </c>
      <c r="E29" s="27"/>
      <c r="F29" s="26"/>
      <c r="G29" s="27"/>
      <c r="H29" s="27"/>
      <c r="I29" s="27"/>
      <c r="J29" s="27"/>
      <c r="K29" s="27"/>
      <c r="L29" s="27"/>
      <c r="M29" s="27"/>
      <c r="N29" s="38" t="e">
        <f t="shared" si="0"/>
        <v>#DIV/0!</v>
      </c>
      <c r="O29" s="29"/>
      <c r="P29" s="28"/>
      <c r="Q29" s="29"/>
    </row>
    <row r="30" spans="2:17" x14ac:dyDescent="0.2">
      <c r="P30" s="30"/>
    </row>
    <row r="31" spans="2:17" x14ac:dyDescent="0.2">
      <c r="P31" s="30"/>
    </row>
  </sheetData>
  <mergeCells count="2">
    <mergeCell ref="B2:D2"/>
    <mergeCell ref="F2:N2"/>
  </mergeCell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8553F-07C5-4230-9F73-03A009C30578}">
  <dimension ref="B2:AP31"/>
  <sheetViews>
    <sheetView zoomScale="85" zoomScaleNormal="85" workbookViewId="0">
      <selection activeCell="E6" sqref="E6"/>
    </sheetView>
  </sheetViews>
  <sheetFormatPr defaultColWidth="9.125" defaultRowHeight="14.25" x14ac:dyDescent="0.2"/>
  <cols>
    <col min="1" max="2" width="9.125" style="15"/>
    <col min="3" max="3" width="12.625" style="15" customWidth="1"/>
    <col min="4" max="4" width="34.875" style="15" customWidth="1"/>
    <col min="5" max="17" width="4.75" style="15" customWidth="1"/>
    <col min="18" max="18" width="4.625" style="15" customWidth="1"/>
    <col min="19" max="38" width="4.75" style="15" customWidth="1"/>
    <col min="39" max="39" width="12.375" style="15" customWidth="1"/>
    <col min="40" max="16384" width="9.125" style="15"/>
  </cols>
  <sheetData>
    <row r="2" spans="2:42" ht="15" x14ac:dyDescent="0.25">
      <c r="B2" s="46" t="s">
        <v>0</v>
      </c>
      <c r="C2" s="46"/>
      <c r="D2" s="46"/>
      <c r="E2" s="56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  <c r="AA2" s="57"/>
      <c r="AB2" s="57"/>
      <c r="AC2" s="57"/>
      <c r="AD2" s="57"/>
      <c r="AE2" s="57"/>
      <c r="AF2" s="57"/>
      <c r="AG2" s="57"/>
      <c r="AH2" s="57"/>
      <c r="AI2" s="57"/>
      <c r="AJ2" s="57"/>
      <c r="AK2" s="57"/>
      <c r="AL2" s="57"/>
      <c r="AM2" s="58"/>
    </row>
    <row r="3" spans="2:42" ht="117.75" customHeight="1" x14ac:dyDescent="0.25">
      <c r="B3" s="16"/>
      <c r="C3" s="16"/>
      <c r="D3" s="17" t="s">
        <v>44</v>
      </c>
      <c r="E3" s="53" t="s">
        <v>46</v>
      </c>
      <c r="F3" s="54"/>
      <c r="G3" s="55"/>
      <c r="H3" s="53" t="s">
        <v>47</v>
      </c>
      <c r="I3" s="55"/>
      <c r="J3" s="53" t="s">
        <v>48</v>
      </c>
      <c r="K3" s="54"/>
      <c r="L3" s="54"/>
      <c r="M3" s="54"/>
      <c r="N3" s="55"/>
      <c r="O3" s="53" t="s">
        <v>49</v>
      </c>
      <c r="P3" s="54"/>
      <c r="Q3" s="54"/>
      <c r="R3" s="55"/>
      <c r="S3" s="53" t="s">
        <v>50</v>
      </c>
      <c r="T3" s="54"/>
      <c r="U3" s="55"/>
      <c r="V3" s="53" t="s">
        <v>51</v>
      </c>
      <c r="W3" s="55"/>
      <c r="X3" s="53" t="s">
        <v>52</v>
      </c>
      <c r="Y3" s="54"/>
      <c r="Z3" s="54"/>
      <c r="AA3" s="54"/>
      <c r="AB3" s="54"/>
      <c r="AC3" s="54"/>
      <c r="AD3" s="55"/>
      <c r="AE3" s="53" t="s">
        <v>53</v>
      </c>
      <c r="AF3" s="54"/>
      <c r="AG3" s="54"/>
      <c r="AH3" s="55"/>
      <c r="AI3" s="53" t="s">
        <v>54</v>
      </c>
      <c r="AJ3" s="54"/>
      <c r="AK3" s="54"/>
      <c r="AL3" s="55"/>
      <c r="AM3" s="35" t="s">
        <v>10</v>
      </c>
    </row>
    <row r="4" spans="2:42" ht="15" customHeight="1" x14ac:dyDescent="0.2">
      <c r="B4" s="20"/>
      <c r="C4" s="20"/>
      <c r="D4" s="21" t="s">
        <v>45</v>
      </c>
      <c r="E4" s="22">
        <v>4</v>
      </c>
      <c r="F4" s="22">
        <v>5</v>
      </c>
      <c r="G4" s="22">
        <v>6</v>
      </c>
      <c r="H4" s="22">
        <v>7</v>
      </c>
      <c r="I4" s="22">
        <v>8</v>
      </c>
      <c r="J4" s="22">
        <v>9</v>
      </c>
      <c r="K4" s="22">
        <v>10</v>
      </c>
      <c r="L4" s="22">
        <v>11</v>
      </c>
      <c r="M4" s="22">
        <v>12</v>
      </c>
      <c r="N4" s="22">
        <v>13</v>
      </c>
      <c r="O4" s="22">
        <v>14</v>
      </c>
      <c r="P4" s="22">
        <v>15</v>
      </c>
      <c r="Q4" s="22">
        <v>16</v>
      </c>
      <c r="R4" s="22">
        <v>17</v>
      </c>
      <c r="S4" s="22">
        <v>18</v>
      </c>
      <c r="T4" s="22">
        <v>19</v>
      </c>
      <c r="U4" s="22">
        <v>20</v>
      </c>
      <c r="V4" s="22">
        <v>21</v>
      </c>
      <c r="W4" s="22">
        <v>22</v>
      </c>
      <c r="X4" s="22">
        <v>23</v>
      </c>
      <c r="Y4" s="22">
        <v>24</v>
      </c>
      <c r="Z4" s="22">
        <v>25</v>
      </c>
      <c r="AA4" s="22">
        <v>26</v>
      </c>
      <c r="AB4" s="22">
        <v>27</v>
      </c>
      <c r="AC4" s="22">
        <v>28</v>
      </c>
      <c r="AD4" s="22">
        <v>29</v>
      </c>
      <c r="AE4" s="22">
        <v>30</v>
      </c>
      <c r="AF4" s="22">
        <v>31</v>
      </c>
      <c r="AG4" s="22">
        <v>32</v>
      </c>
      <c r="AH4" s="22">
        <v>33</v>
      </c>
      <c r="AI4" s="22">
        <v>34</v>
      </c>
      <c r="AJ4" s="22">
        <v>35</v>
      </c>
      <c r="AK4" s="22">
        <v>36</v>
      </c>
      <c r="AL4" s="22">
        <v>37</v>
      </c>
      <c r="AM4" s="36"/>
    </row>
    <row r="5" spans="2:42" ht="15" x14ac:dyDescent="0.25">
      <c r="B5" s="23" t="s">
        <v>13</v>
      </c>
      <c r="C5" s="23" t="s">
        <v>14</v>
      </c>
      <c r="D5" s="24" t="s">
        <v>15</v>
      </c>
      <c r="E5" s="24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37"/>
    </row>
    <row r="6" spans="2:42" ht="15" x14ac:dyDescent="0.2">
      <c r="B6" s="25">
        <v>1</v>
      </c>
      <c r="C6" s="25">
        <v>1045</v>
      </c>
      <c r="D6" s="15" t="s">
        <v>16</v>
      </c>
      <c r="E6" s="26"/>
      <c r="F6" s="26"/>
      <c r="G6" s="26"/>
      <c r="H6" s="26"/>
      <c r="I6" s="26"/>
      <c r="J6" s="26"/>
      <c r="K6" s="26"/>
      <c r="L6" s="27"/>
      <c r="M6" s="26"/>
      <c r="N6" s="26"/>
      <c r="O6" s="27"/>
      <c r="P6" s="26"/>
      <c r="Q6" s="27"/>
      <c r="R6" s="27"/>
      <c r="S6" s="27"/>
      <c r="T6" s="26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38" t="e">
        <f t="shared" ref="AM6:AM29" si="0">AVERAGE(E6:AC6)</f>
        <v>#DIV/0!</v>
      </c>
      <c r="AO6" s="28"/>
    </row>
    <row r="7" spans="2:42" ht="15" x14ac:dyDescent="0.2">
      <c r="B7" s="25">
        <v>2</v>
      </c>
      <c r="C7" s="25">
        <v>1060</v>
      </c>
      <c r="D7" s="20" t="s">
        <v>17</v>
      </c>
      <c r="E7" s="27"/>
      <c r="F7" s="27"/>
      <c r="G7" s="27"/>
      <c r="H7" s="27"/>
      <c r="I7" s="26"/>
      <c r="J7" s="27"/>
      <c r="K7" s="26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38" t="e">
        <f t="shared" si="0"/>
        <v>#DIV/0!</v>
      </c>
      <c r="AO7" s="28"/>
    </row>
    <row r="8" spans="2:42" ht="15" x14ac:dyDescent="0.2">
      <c r="B8" s="25">
        <v>3</v>
      </c>
      <c r="C8" s="25">
        <v>1108</v>
      </c>
      <c r="D8" s="20" t="s">
        <v>18</v>
      </c>
      <c r="E8" s="27"/>
      <c r="F8" s="27"/>
      <c r="G8" s="27"/>
      <c r="H8" s="27"/>
      <c r="I8" s="26"/>
      <c r="J8" s="27"/>
      <c r="K8" s="27"/>
      <c r="L8" s="27"/>
      <c r="M8" s="27"/>
      <c r="N8" s="27"/>
      <c r="O8" s="27"/>
      <c r="P8" s="27"/>
      <c r="Q8" s="27"/>
      <c r="R8" s="26"/>
      <c r="S8" s="27"/>
      <c r="T8" s="27"/>
      <c r="U8" s="27"/>
      <c r="V8" s="26"/>
      <c r="W8" s="27"/>
      <c r="X8" s="27"/>
      <c r="Y8" s="27"/>
      <c r="Z8" s="27"/>
      <c r="AA8" s="27"/>
      <c r="AB8" s="27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38" t="e">
        <f t="shared" si="0"/>
        <v>#DIV/0!</v>
      </c>
      <c r="AO8" s="28"/>
    </row>
    <row r="9" spans="2:42" ht="15" x14ac:dyDescent="0.2">
      <c r="B9" s="25">
        <v>4</v>
      </c>
      <c r="C9" s="25">
        <v>876</v>
      </c>
      <c r="D9" s="20" t="s">
        <v>19</v>
      </c>
      <c r="E9" s="27"/>
      <c r="F9" s="27"/>
      <c r="G9" s="27"/>
      <c r="H9" s="27"/>
      <c r="I9" s="27"/>
      <c r="J9" s="26"/>
      <c r="K9" s="26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38" t="e">
        <f t="shared" si="0"/>
        <v>#DIV/0!</v>
      </c>
      <c r="AO9" s="28"/>
    </row>
    <row r="10" spans="2:42" ht="15" x14ac:dyDescent="0.2">
      <c r="B10" s="25">
        <v>5</v>
      </c>
      <c r="C10" s="25">
        <v>639</v>
      </c>
      <c r="D10" s="20" t="s">
        <v>20</v>
      </c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38" t="e">
        <f t="shared" si="0"/>
        <v>#DIV/0!</v>
      </c>
      <c r="AO10" s="28"/>
    </row>
    <row r="11" spans="2:42" ht="15" x14ac:dyDescent="0.2">
      <c r="B11" s="25">
        <v>6</v>
      </c>
      <c r="C11" s="25">
        <v>1224</v>
      </c>
      <c r="D11" s="20" t="s">
        <v>21</v>
      </c>
      <c r="E11" s="27"/>
      <c r="F11" s="26"/>
      <c r="G11" s="27"/>
      <c r="H11" s="26"/>
      <c r="I11" s="26"/>
      <c r="J11" s="27"/>
      <c r="K11" s="26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38" t="e">
        <f t="shared" si="0"/>
        <v>#DIV/0!</v>
      </c>
      <c r="AO11" s="28"/>
    </row>
    <row r="12" spans="2:42" ht="15" x14ac:dyDescent="0.2">
      <c r="B12" s="25">
        <v>7</v>
      </c>
      <c r="C12" s="25">
        <v>1069</v>
      </c>
      <c r="D12" s="20" t="s">
        <v>22</v>
      </c>
      <c r="E12" s="26"/>
      <c r="F12" s="26"/>
      <c r="G12" s="27"/>
      <c r="H12" s="26"/>
      <c r="I12" s="26"/>
      <c r="J12" s="26"/>
      <c r="K12" s="26"/>
      <c r="L12" s="26"/>
      <c r="M12" s="26"/>
      <c r="N12" s="27"/>
      <c r="O12" s="27"/>
      <c r="P12" s="27"/>
      <c r="Q12" s="27"/>
      <c r="R12" s="27"/>
      <c r="S12" s="26"/>
      <c r="T12" s="26"/>
      <c r="U12" s="27"/>
      <c r="V12" s="27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38" t="e">
        <f t="shared" si="0"/>
        <v>#DIV/0!</v>
      </c>
      <c r="AN12" s="29"/>
      <c r="AO12" s="28"/>
      <c r="AP12" s="29"/>
    </row>
    <row r="13" spans="2:42" ht="15" x14ac:dyDescent="0.2">
      <c r="B13" s="25">
        <v>8</v>
      </c>
      <c r="C13" s="25">
        <v>1003</v>
      </c>
      <c r="D13" s="20" t="s">
        <v>23</v>
      </c>
      <c r="E13" s="27"/>
      <c r="F13" s="27"/>
      <c r="G13" s="27"/>
      <c r="H13" s="27"/>
      <c r="I13" s="27"/>
      <c r="J13" s="27"/>
      <c r="K13" s="26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38" t="e">
        <f t="shared" si="0"/>
        <v>#DIV/0!</v>
      </c>
      <c r="AN13" s="29"/>
      <c r="AO13" s="28"/>
      <c r="AP13" s="29"/>
    </row>
    <row r="14" spans="2:42" ht="15" x14ac:dyDescent="0.2">
      <c r="B14" s="31">
        <v>9</v>
      </c>
      <c r="C14" s="31">
        <v>698</v>
      </c>
      <c r="D14" s="32" t="s">
        <v>24</v>
      </c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33"/>
      <c r="AK14" s="33"/>
      <c r="AL14" s="33"/>
      <c r="AM14" s="38" t="e">
        <f t="shared" si="0"/>
        <v>#DIV/0!</v>
      </c>
      <c r="AN14" s="29"/>
      <c r="AO14" s="28"/>
      <c r="AP14" s="29"/>
    </row>
    <row r="15" spans="2:42" ht="15" x14ac:dyDescent="0.2">
      <c r="B15" s="31">
        <v>10</v>
      </c>
      <c r="C15" s="31">
        <v>1004</v>
      </c>
      <c r="D15" s="32" t="s">
        <v>25</v>
      </c>
      <c r="E15" s="33"/>
      <c r="F15" s="34"/>
      <c r="G15" s="33"/>
      <c r="H15" s="33"/>
      <c r="I15" s="33"/>
      <c r="J15" s="33"/>
      <c r="K15" s="34"/>
      <c r="L15" s="34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33"/>
      <c r="AK15" s="33"/>
      <c r="AL15" s="33"/>
      <c r="AM15" s="38" t="e">
        <f t="shared" si="0"/>
        <v>#DIV/0!</v>
      </c>
      <c r="AN15" s="29"/>
      <c r="AO15" s="28"/>
      <c r="AP15" s="29"/>
    </row>
    <row r="16" spans="2:42" ht="15" x14ac:dyDescent="0.2">
      <c r="B16" s="31">
        <v>11</v>
      </c>
      <c r="C16" s="31">
        <v>1214</v>
      </c>
      <c r="D16" s="32" t="s">
        <v>26</v>
      </c>
      <c r="E16" s="33"/>
      <c r="F16" s="33"/>
      <c r="G16" s="33"/>
      <c r="H16" s="34"/>
      <c r="I16" s="33"/>
      <c r="J16" s="33"/>
      <c r="K16" s="34"/>
      <c r="L16" s="33"/>
      <c r="M16" s="34"/>
      <c r="N16" s="34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8" t="e">
        <f t="shared" si="0"/>
        <v>#DIV/0!</v>
      </c>
      <c r="AN16" s="29"/>
      <c r="AO16" s="28"/>
      <c r="AP16" s="29"/>
    </row>
    <row r="17" spans="2:42" ht="15" x14ac:dyDescent="0.2">
      <c r="B17" s="31">
        <v>12</v>
      </c>
      <c r="C17" s="31">
        <v>1083</v>
      </c>
      <c r="D17" s="32" t="s">
        <v>27</v>
      </c>
      <c r="E17" s="34"/>
      <c r="F17" s="34"/>
      <c r="G17" s="34"/>
      <c r="H17" s="34"/>
      <c r="I17" s="34"/>
      <c r="J17" s="34"/>
      <c r="K17" s="34"/>
      <c r="L17" s="34"/>
      <c r="M17" s="33"/>
      <c r="N17" s="33"/>
      <c r="O17" s="33"/>
      <c r="P17" s="33"/>
      <c r="Q17" s="33"/>
      <c r="R17" s="34"/>
      <c r="S17" s="33"/>
      <c r="T17" s="33"/>
      <c r="U17" s="33"/>
      <c r="V17" s="34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33"/>
      <c r="AM17" s="38" t="e">
        <f t="shared" si="0"/>
        <v>#DIV/0!</v>
      </c>
      <c r="AN17" s="29"/>
      <c r="AO17" s="28"/>
      <c r="AP17" s="29"/>
    </row>
    <row r="18" spans="2:42" ht="15" x14ac:dyDescent="0.2">
      <c r="B18" s="31">
        <v>13</v>
      </c>
      <c r="C18" s="31">
        <v>1006</v>
      </c>
      <c r="D18" s="32" t="s">
        <v>28</v>
      </c>
      <c r="E18" s="34"/>
      <c r="F18" s="34"/>
      <c r="G18" s="34"/>
      <c r="H18" s="34"/>
      <c r="I18" s="34"/>
      <c r="J18" s="34"/>
      <c r="K18" s="34"/>
      <c r="L18" s="33"/>
      <c r="M18" s="33"/>
      <c r="N18" s="33"/>
      <c r="O18" s="33"/>
      <c r="P18" s="34"/>
      <c r="Q18" s="33"/>
      <c r="R18" s="34"/>
      <c r="S18" s="34"/>
      <c r="T18" s="34"/>
      <c r="U18" s="33"/>
      <c r="V18" s="34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8" t="e">
        <f t="shared" si="0"/>
        <v>#DIV/0!</v>
      </c>
      <c r="AN18" s="29"/>
      <c r="AO18" s="28"/>
      <c r="AP18" s="29"/>
    </row>
    <row r="19" spans="2:42" ht="15" x14ac:dyDescent="0.2">
      <c r="B19" s="31">
        <v>14</v>
      </c>
      <c r="C19" s="31">
        <v>991</v>
      </c>
      <c r="D19" s="32" t="s">
        <v>29</v>
      </c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4"/>
      <c r="AD19" s="34"/>
      <c r="AE19" s="34"/>
      <c r="AF19" s="34"/>
      <c r="AG19" s="34"/>
      <c r="AH19" s="34"/>
      <c r="AI19" s="34"/>
      <c r="AJ19" s="34"/>
      <c r="AK19" s="34"/>
      <c r="AL19" s="34"/>
      <c r="AM19" s="38" t="e">
        <f t="shared" si="0"/>
        <v>#DIV/0!</v>
      </c>
      <c r="AN19" s="29"/>
      <c r="AO19" s="28"/>
      <c r="AP19" s="29"/>
    </row>
    <row r="20" spans="2:42" ht="15" x14ac:dyDescent="0.2">
      <c r="B20" s="31">
        <v>15</v>
      </c>
      <c r="C20" s="31">
        <v>1006</v>
      </c>
      <c r="D20" s="32" t="s">
        <v>30</v>
      </c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  <c r="AE20" s="33"/>
      <c r="AF20" s="33"/>
      <c r="AG20" s="33"/>
      <c r="AH20" s="33"/>
      <c r="AI20" s="33"/>
      <c r="AJ20" s="33"/>
      <c r="AK20" s="33"/>
      <c r="AL20" s="33"/>
      <c r="AM20" s="38" t="e">
        <f t="shared" si="0"/>
        <v>#DIV/0!</v>
      </c>
      <c r="AN20" s="29"/>
      <c r="AO20" s="28"/>
      <c r="AP20" s="29"/>
    </row>
    <row r="21" spans="2:42" ht="15" x14ac:dyDescent="0.2">
      <c r="B21" s="31">
        <v>16</v>
      </c>
      <c r="C21" s="31">
        <v>1035</v>
      </c>
      <c r="D21" s="32" t="s">
        <v>31</v>
      </c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33"/>
      <c r="AH21" s="33"/>
      <c r="AI21" s="33"/>
      <c r="AJ21" s="33"/>
      <c r="AK21" s="33"/>
      <c r="AL21" s="33"/>
      <c r="AM21" s="38" t="e">
        <f t="shared" si="0"/>
        <v>#DIV/0!</v>
      </c>
      <c r="AN21" s="29"/>
      <c r="AO21" s="28"/>
      <c r="AP21" s="29"/>
    </row>
    <row r="22" spans="2:42" ht="15" x14ac:dyDescent="0.2">
      <c r="B22" s="31">
        <v>17</v>
      </c>
      <c r="C22" s="31">
        <v>1088</v>
      </c>
      <c r="D22" s="32" t="s">
        <v>32</v>
      </c>
      <c r="E22" s="34"/>
      <c r="F22" s="34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H22" s="33"/>
      <c r="AI22" s="33"/>
      <c r="AJ22" s="33"/>
      <c r="AK22" s="33"/>
      <c r="AL22" s="33"/>
      <c r="AM22" s="38" t="e">
        <f t="shared" si="0"/>
        <v>#DIV/0!</v>
      </c>
      <c r="AN22" s="29"/>
      <c r="AO22" s="28"/>
      <c r="AP22" s="29"/>
    </row>
    <row r="23" spans="2:42" ht="15" x14ac:dyDescent="0.2">
      <c r="B23" s="31">
        <v>18</v>
      </c>
      <c r="C23" s="31">
        <v>1016</v>
      </c>
      <c r="D23" s="32" t="s">
        <v>33</v>
      </c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/>
      <c r="AG23" s="33"/>
      <c r="AH23" s="33"/>
      <c r="AI23" s="33"/>
      <c r="AJ23" s="33"/>
      <c r="AK23" s="33"/>
      <c r="AL23" s="33"/>
      <c r="AM23" s="38" t="e">
        <f t="shared" si="0"/>
        <v>#DIV/0!</v>
      </c>
      <c r="AN23" s="29"/>
      <c r="AO23" s="28"/>
      <c r="AP23" s="29"/>
    </row>
    <row r="24" spans="2:42" ht="15" x14ac:dyDescent="0.2">
      <c r="B24" s="31">
        <v>19</v>
      </c>
      <c r="C24" s="31">
        <v>1062</v>
      </c>
      <c r="D24" s="32" t="s">
        <v>34</v>
      </c>
      <c r="E24" s="33"/>
      <c r="F24" s="34"/>
      <c r="G24" s="33"/>
      <c r="H24" s="34"/>
      <c r="I24" s="34"/>
      <c r="J24" s="33"/>
      <c r="K24" s="34"/>
      <c r="L24" s="33"/>
      <c r="M24" s="34"/>
      <c r="N24" s="33"/>
      <c r="O24" s="33"/>
      <c r="P24" s="34"/>
      <c r="Q24" s="33"/>
      <c r="R24" s="34"/>
      <c r="S24" s="34"/>
      <c r="T24" s="34"/>
      <c r="U24" s="34"/>
      <c r="V24" s="33"/>
      <c r="W24" s="33"/>
      <c r="X24" s="33"/>
      <c r="Y24" s="33"/>
      <c r="Z24" s="33"/>
      <c r="AA24" s="33"/>
      <c r="AB24" s="33"/>
      <c r="AC24" s="34"/>
      <c r="AD24" s="34"/>
      <c r="AE24" s="34"/>
      <c r="AF24" s="34"/>
      <c r="AG24" s="34"/>
      <c r="AH24" s="34"/>
      <c r="AI24" s="34"/>
      <c r="AJ24" s="34"/>
      <c r="AK24" s="34"/>
      <c r="AL24" s="34"/>
      <c r="AM24" s="38" t="e">
        <f t="shared" si="0"/>
        <v>#DIV/0!</v>
      </c>
      <c r="AN24" s="29"/>
      <c r="AO24" s="28"/>
      <c r="AP24" s="29"/>
    </row>
    <row r="25" spans="2:42" ht="15" x14ac:dyDescent="0.2">
      <c r="B25" s="31">
        <v>20</v>
      </c>
      <c r="C25" s="31">
        <v>1029</v>
      </c>
      <c r="D25" s="32" t="s">
        <v>35</v>
      </c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33"/>
      <c r="AH25" s="33"/>
      <c r="AI25" s="33"/>
      <c r="AJ25" s="33"/>
      <c r="AK25" s="33"/>
      <c r="AL25" s="33"/>
      <c r="AM25" s="38" t="e">
        <f t="shared" si="0"/>
        <v>#DIV/0!</v>
      </c>
      <c r="AN25" s="29"/>
      <c r="AO25" s="28"/>
      <c r="AP25" s="29"/>
    </row>
    <row r="26" spans="2:42" ht="15" x14ac:dyDescent="0.2">
      <c r="B26" s="25">
        <v>21</v>
      </c>
      <c r="C26" s="25">
        <v>994</v>
      </c>
      <c r="D26" s="20" t="s">
        <v>36</v>
      </c>
      <c r="E26" s="27"/>
      <c r="F26" s="27"/>
      <c r="G26" s="27"/>
      <c r="H26" s="27"/>
      <c r="I26" s="27"/>
      <c r="J26" s="27"/>
      <c r="K26" s="27"/>
      <c r="L26" s="27"/>
      <c r="M26" s="26"/>
      <c r="N26" s="27"/>
      <c r="O26" s="27"/>
      <c r="P26" s="26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38" t="e">
        <f t="shared" si="0"/>
        <v>#DIV/0!</v>
      </c>
      <c r="AN26" s="29"/>
      <c r="AO26" s="28"/>
      <c r="AP26" s="29"/>
    </row>
    <row r="27" spans="2:42" ht="15" x14ac:dyDescent="0.2">
      <c r="B27" s="25">
        <v>22</v>
      </c>
      <c r="C27" s="25">
        <v>799</v>
      </c>
      <c r="D27" s="20" t="s">
        <v>37</v>
      </c>
      <c r="E27" s="27"/>
      <c r="F27" s="26"/>
      <c r="G27" s="27"/>
      <c r="H27" s="26"/>
      <c r="I27" s="27"/>
      <c r="J27" s="27"/>
      <c r="K27" s="26"/>
      <c r="L27" s="27"/>
      <c r="M27" s="26"/>
      <c r="N27" s="27"/>
      <c r="O27" s="27"/>
      <c r="P27" s="27"/>
      <c r="Q27" s="27"/>
      <c r="R27" s="27"/>
      <c r="S27" s="26"/>
      <c r="T27" s="26"/>
      <c r="U27" s="27"/>
      <c r="V27" s="27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38" t="e">
        <f t="shared" si="0"/>
        <v>#DIV/0!</v>
      </c>
      <c r="AN27" s="29"/>
      <c r="AO27" s="28"/>
      <c r="AP27" s="29"/>
    </row>
    <row r="28" spans="2:42" ht="15" x14ac:dyDescent="0.2">
      <c r="B28" s="25">
        <v>23</v>
      </c>
      <c r="C28" s="25">
        <v>1091</v>
      </c>
      <c r="D28" s="20" t="s">
        <v>38</v>
      </c>
      <c r="E28" s="27"/>
      <c r="F28" s="27"/>
      <c r="G28" s="27"/>
      <c r="H28" s="27"/>
      <c r="I28" s="27"/>
      <c r="J28" s="27"/>
      <c r="K28" s="27"/>
      <c r="L28" s="27"/>
      <c r="M28" s="26"/>
      <c r="N28" s="27"/>
      <c r="O28" s="27"/>
      <c r="P28" s="27"/>
      <c r="Q28" s="27"/>
      <c r="R28" s="27"/>
      <c r="S28" s="27"/>
      <c r="T28" s="27"/>
      <c r="U28" s="27"/>
      <c r="V28" s="27"/>
      <c r="W28" s="26"/>
      <c r="X28" s="26"/>
      <c r="Y28" s="26"/>
      <c r="Z28" s="26"/>
      <c r="AA28" s="26"/>
      <c r="AB28" s="26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38" t="e">
        <f t="shared" si="0"/>
        <v>#DIV/0!</v>
      </c>
      <c r="AN28" s="29"/>
      <c r="AO28" s="28"/>
      <c r="AP28" s="29"/>
    </row>
    <row r="29" spans="2:42" ht="15" x14ac:dyDescent="0.2">
      <c r="B29" s="25">
        <v>24</v>
      </c>
      <c r="C29" s="25">
        <v>1221</v>
      </c>
      <c r="D29" s="20" t="s">
        <v>39</v>
      </c>
      <c r="E29" s="27"/>
      <c r="F29" s="26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38" t="e">
        <f t="shared" si="0"/>
        <v>#DIV/0!</v>
      </c>
      <c r="AN29" s="29"/>
      <c r="AO29" s="28"/>
      <c r="AP29" s="29"/>
    </row>
    <row r="30" spans="2:42" x14ac:dyDescent="0.2">
      <c r="AO30" s="30"/>
    </row>
    <row r="31" spans="2:42" x14ac:dyDescent="0.2">
      <c r="AO31" s="30"/>
    </row>
  </sheetData>
  <mergeCells count="11">
    <mergeCell ref="AE3:AH3"/>
    <mergeCell ref="AI3:AL3"/>
    <mergeCell ref="B2:D2"/>
    <mergeCell ref="E3:G3"/>
    <mergeCell ref="E2:AM2"/>
    <mergeCell ref="H3:I3"/>
    <mergeCell ref="J3:N3"/>
    <mergeCell ref="O3:R3"/>
    <mergeCell ref="S3:U3"/>
    <mergeCell ref="V3:W3"/>
    <mergeCell ref="X3:AD3"/>
  </mergeCells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450F9-4CD9-494B-918B-C7521D664A65}">
  <dimension ref="B2:U31"/>
  <sheetViews>
    <sheetView tabSelected="1" zoomScale="85" zoomScaleNormal="85" workbookViewId="0">
      <selection activeCell="W8" sqref="W8"/>
    </sheetView>
  </sheetViews>
  <sheetFormatPr defaultColWidth="9.125" defaultRowHeight="14.25" x14ac:dyDescent="0.2"/>
  <cols>
    <col min="1" max="2" width="9.125" style="15"/>
    <col min="3" max="3" width="12.625" style="15" customWidth="1"/>
    <col min="4" max="4" width="34.875" style="15" customWidth="1"/>
    <col min="5" max="5" width="4.75" style="15" customWidth="1"/>
    <col min="6" max="8" width="5.875" style="15" bestFit="1" customWidth="1"/>
    <col min="9" max="9" width="4.75" style="15" customWidth="1"/>
    <col min="10" max="10" width="5.875" style="15" bestFit="1" customWidth="1"/>
    <col min="11" max="12" width="4.75" style="15" customWidth="1"/>
    <col min="13" max="14" width="5.875" style="15" bestFit="1" customWidth="1"/>
    <col min="15" max="17" width="4.75" style="15" customWidth="1"/>
    <col min="18" max="18" width="12.375" style="15" customWidth="1"/>
    <col min="19" max="16384" width="9.125" style="15"/>
  </cols>
  <sheetData>
    <row r="2" spans="2:21" ht="15" x14ac:dyDescent="0.25">
      <c r="B2" s="46" t="s">
        <v>0</v>
      </c>
      <c r="C2" s="46"/>
      <c r="D2" s="46"/>
      <c r="E2" s="56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8"/>
    </row>
    <row r="3" spans="2:21" ht="117.75" customHeight="1" x14ac:dyDescent="0.25">
      <c r="B3" s="16"/>
      <c r="C3" s="16"/>
      <c r="D3" s="17" t="s">
        <v>44</v>
      </c>
      <c r="E3" s="39" t="s">
        <v>67</v>
      </c>
      <c r="F3" s="39" t="s">
        <v>68</v>
      </c>
      <c r="G3" s="39" t="s">
        <v>69</v>
      </c>
      <c r="H3" s="39" t="s">
        <v>70</v>
      </c>
      <c r="I3" s="39" t="s">
        <v>71</v>
      </c>
      <c r="J3" s="39" t="s">
        <v>72</v>
      </c>
      <c r="K3" s="39" t="s">
        <v>73</v>
      </c>
      <c r="L3" s="39" t="s">
        <v>74</v>
      </c>
      <c r="M3" s="18" t="s">
        <v>75</v>
      </c>
      <c r="N3" s="18" t="s">
        <v>76</v>
      </c>
      <c r="O3" s="18" t="s">
        <v>77</v>
      </c>
      <c r="P3" s="18" t="s">
        <v>78</v>
      </c>
      <c r="Q3" s="18" t="s">
        <v>79</v>
      </c>
      <c r="R3" s="35" t="s">
        <v>10</v>
      </c>
    </row>
    <row r="4" spans="2:21" ht="15" customHeight="1" x14ac:dyDescent="0.2">
      <c r="B4" s="20"/>
      <c r="C4" s="20"/>
      <c r="D4" s="21" t="s">
        <v>45</v>
      </c>
      <c r="E4" s="22">
        <v>193</v>
      </c>
      <c r="F4" s="22">
        <v>195</v>
      </c>
      <c r="G4" s="22">
        <v>197</v>
      </c>
      <c r="H4" s="22">
        <v>199</v>
      </c>
      <c r="I4" s="22">
        <v>201</v>
      </c>
      <c r="J4" s="22">
        <v>203</v>
      </c>
      <c r="K4" s="22">
        <v>205</v>
      </c>
      <c r="L4" s="22">
        <v>207</v>
      </c>
      <c r="M4" s="22">
        <v>209</v>
      </c>
      <c r="N4" s="22">
        <v>217</v>
      </c>
      <c r="O4" s="22">
        <v>227</v>
      </c>
      <c r="P4" s="22">
        <v>229</v>
      </c>
      <c r="Q4" s="22">
        <v>231</v>
      </c>
      <c r="R4" s="36"/>
    </row>
    <row r="5" spans="2:21" ht="15" x14ac:dyDescent="0.25">
      <c r="B5" s="23" t="s">
        <v>13</v>
      </c>
      <c r="C5" s="23" t="s">
        <v>14</v>
      </c>
      <c r="D5" s="24" t="s">
        <v>15</v>
      </c>
      <c r="E5" s="24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37"/>
    </row>
    <row r="6" spans="2:21" ht="15" x14ac:dyDescent="0.2">
      <c r="B6" s="25">
        <v>1</v>
      </c>
      <c r="C6" s="25">
        <v>1045</v>
      </c>
      <c r="D6" s="15" t="s">
        <v>16</v>
      </c>
      <c r="E6" s="26"/>
      <c r="F6" s="26"/>
      <c r="G6" s="26"/>
      <c r="H6" s="27"/>
      <c r="I6" s="27"/>
      <c r="J6" s="27"/>
      <c r="K6" s="27"/>
      <c r="L6" s="27"/>
      <c r="M6" s="27"/>
      <c r="N6" s="27"/>
      <c r="O6" s="27"/>
      <c r="P6" s="27"/>
      <c r="Q6" s="27"/>
      <c r="R6" s="38" t="e">
        <f>AVERAGE(E6:K6)</f>
        <v>#DIV/0!</v>
      </c>
      <c r="T6" s="28"/>
    </row>
    <row r="7" spans="2:21" ht="15" x14ac:dyDescent="0.2">
      <c r="B7" s="25">
        <v>2</v>
      </c>
      <c r="C7" s="25">
        <v>1060</v>
      </c>
      <c r="D7" s="20" t="s">
        <v>17</v>
      </c>
      <c r="E7" s="27"/>
      <c r="F7" s="27"/>
      <c r="G7" s="27"/>
      <c r="H7" s="27"/>
      <c r="I7" s="27"/>
      <c r="J7" s="27"/>
      <c r="K7" s="27"/>
      <c r="L7" s="26"/>
      <c r="M7" s="26"/>
      <c r="N7" s="26"/>
      <c r="O7" s="26"/>
      <c r="P7" s="26"/>
      <c r="Q7" s="26"/>
      <c r="R7" s="38" t="e">
        <f>AVERAGE(E7:K7)</f>
        <v>#DIV/0!</v>
      </c>
      <c r="T7" s="28"/>
    </row>
    <row r="8" spans="2:21" ht="15" x14ac:dyDescent="0.2">
      <c r="B8" s="25">
        <v>3</v>
      </c>
      <c r="C8" s="25">
        <v>1108</v>
      </c>
      <c r="D8" s="20" t="s">
        <v>18</v>
      </c>
      <c r="E8" s="27"/>
      <c r="F8" s="27"/>
      <c r="G8" s="27"/>
      <c r="H8" s="27"/>
      <c r="I8" s="27"/>
      <c r="J8" s="26"/>
      <c r="K8" s="27"/>
      <c r="L8" s="26"/>
      <c r="M8" s="26"/>
      <c r="N8" s="26"/>
      <c r="O8" s="26"/>
      <c r="P8" s="26"/>
      <c r="Q8" s="26"/>
      <c r="R8" s="38" t="e">
        <f>AVERAGE(E8:K8)</f>
        <v>#DIV/0!</v>
      </c>
      <c r="T8" s="28"/>
    </row>
    <row r="9" spans="2:21" ht="15" x14ac:dyDescent="0.2">
      <c r="B9" s="25">
        <v>4</v>
      </c>
      <c r="C9" s="25">
        <v>876</v>
      </c>
      <c r="D9" s="20" t="s">
        <v>19</v>
      </c>
      <c r="E9" s="27"/>
      <c r="F9" s="27"/>
      <c r="G9" s="26"/>
      <c r="H9" s="27"/>
      <c r="I9" s="27"/>
      <c r="J9" s="27"/>
      <c r="K9" s="27"/>
      <c r="L9" s="27"/>
      <c r="M9" s="27"/>
      <c r="N9" s="27"/>
      <c r="O9" s="27"/>
      <c r="P9" s="27"/>
      <c r="Q9" s="27"/>
      <c r="R9" s="38" t="e">
        <f>AVERAGE(E9:K9)</f>
        <v>#DIV/0!</v>
      </c>
      <c r="T9" s="28"/>
    </row>
    <row r="10" spans="2:21" ht="15" x14ac:dyDescent="0.2">
      <c r="B10" s="25">
        <v>5</v>
      </c>
      <c r="C10" s="25">
        <v>639</v>
      </c>
      <c r="D10" s="20" t="s">
        <v>20</v>
      </c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38" t="e">
        <f>AVERAGE(E10:K10)</f>
        <v>#DIV/0!</v>
      </c>
      <c r="T10" s="28"/>
    </row>
    <row r="11" spans="2:21" ht="15" x14ac:dyDescent="0.2">
      <c r="B11" s="25">
        <v>6</v>
      </c>
      <c r="C11" s="25">
        <v>1224</v>
      </c>
      <c r="D11" s="20" t="s">
        <v>21</v>
      </c>
      <c r="E11" s="27"/>
      <c r="F11" s="26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38" t="e">
        <f>AVERAGE(E11:K11)</f>
        <v>#DIV/0!</v>
      </c>
      <c r="T11" s="28"/>
    </row>
    <row r="12" spans="2:21" ht="15" x14ac:dyDescent="0.2">
      <c r="B12" s="25">
        <v>7</v>
      </c>
      <c r="C12" s="25">
        <v>1069</v>
      </c>
      <c r="D12" s="20" t="s">
        <v>22</v>
      </c>
      <c r="E12" s="26"/>
      <c r="F12" s="26"/>
      <c r="G12" s="26"/>
      <c r="H12" s="27"/>
      <c r="I12" s="26"/>
      <c r="J12" s="27"/>
      <c r="K12" s="26"/>
      <c r="L12" s="26"/>
      <c r="M12" s="26"/>
      <c r="N12" s="26"/>
      <c r="O12" s="26"/>
      <c r="P12" s="26"/>
      <c r="Q12" s="26"/>
      <c r="R12" s="38" t="e">
        <f>AVERAGE(E12:K12)</f>
        <v>#DIV/0!</v>
      </c>
      <c r="S12" s="29"/>
      <c r="T12" s="28"/>
      <c r="U12" s="29"/>
    </row>
    <row r="13" spans="2:21" ht="15" x14ac:dyDescent="0.2">
      <c r="B13" s="25">
        <v>8</v>
      </c>
      <c r="C13" s="25">
        <v>1003</v>
      </c>
      <c r="D13" s="20" t="s">
        <v>23</v>
      </c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38" t="e">
        <f>AVERAGE(E13:K13)</f>
        <v>#DIV/0!</v>
      </c>
      <c r="S13" s="29"/>
      <c r="T13" s="28"/>
      <c r="U13" s="29"/>
    </row>
    <row r="14" spans="2:21" ht="15" x14ac:dyDescent="0.2">
      <c r="B14" s="31">
        <v>9</v>
      </c>
      <c r="C14" s="31">
        <v>698</v>
      </c>
      <c r="D14" s="32" t="s">
        <v>24</v>
      </c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8" t="e">
        <f>AVERAGE(E14:K14)</f>
        <v>#DIV/0!</v>
      </c>
      <c r="S14" s="29"/>
      <c r="T14" s="28"/>
      <c r="U14" s="29"/>
    </row>
    <row r="15" spans="2:21" ht="15" x14ac:dyDescent="0.2">
      <c r="B15" s="31">
        <v>10</v>
      </c>
      <c r="C15" s="31">
        <v>1004</v>
      </c>
      <c r="D15" s="32" t="s">
        <v>25</v>
      </c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8" t="e">
        <f>AVERAGE(E15:K15)</f>
        <v>#DIV/0!</v>
      </c>
      <c r="S15" s="29"/>
      <c r="T15" s="28"/>
      <c r="U15" s="29"/>
    </row>
    <row r="16" spans="2:21" ht="15" x14ac:dyDescent="0.2">
      <c r="B16" s="31">
        <v>11</v>
      </c>
      <c r="C16" s="31">
        <v>1214</v>
      </c>
      <c r="D16" s="32" t="s">
        <v>26</v>
      </c>
      <c r="E16" s="33"/>
      <c r="F16" s="34"/>
      <c r="G16" s="33"/>
      <c r="H16" s="33"/>
      <c r="I16" s="33"/>
      <c r="J16" s="33"/>
      <c r="K16" s="33"/>
      <c r="L16" s="34"/>
      <c r="M16" s="34"/>
      <c r="N16" s="34"/>
      <c r="O16" s="34"/>
      <c r="P16" s="34"/>
      <c r="Q16" s="34"/>
      <c r="R16" s="38" t="e">
        <f>AVERAGE(E16:K16)</f>
        <v>#DIV/0!</v>
      </c>
      <c r="S16" s="29"/>
      <c r="T16" s="28"/>
      <c r="U16" s="29"/>
    </row>
    <row r="17" spans="2:21" ht="15" x14ac:dyDescent="0.2">
      <c r="B17" s="31">
        <v>12</v>
      </c>
      <c r="C17" s="31">
        <v>1083</v>
      </c>
      <c r="D17" s="32" t="s">
        <v>27</v>
      </c>
      <c r="E17" s="34"/>
      <c r="F17" s="34"/>
      <c r="G17" s="34"/>
      <c r="H17" s="33"/>
      <c r="I17" s="33"/>
      <c r="J17" s="34"/>
      <c r="K17" s="33"/>
      <c r="L17" s="33"/>
      <c r="M17" s="33"/>
      <c r="N17" s="33"/>
      <c r="O17" s="33"/>
      <c r="P17" s="33"/>
      <c r="Q17" s="33"/>
      <c r="R17" s="38" t="e">
        <f>AVERAGE(E17:K17)</f>
        <v>#DIV/0!</v>
      </c>
      <c r="S17" s="29"/>
      <c r="T17" s="28"/>
      <c r="U17" s="29"/>
    </row>
    <row r="18" spans="2:21" ht="15" x14ac:dyDescent="0.2">
      <c r="B18" s="31">
        <v>13</v>
      </c>
      <c r="C18" s="31">
        <v>1006</v>
      </c>
      <c r="D18" s="32" t="s">
        <v>28</v>
      </c>
      <c r="E18" s="34"/>
      <c r="F18" s="34"/>
      <c r="G18" s="34"/>
      <c r="H18" s="33"/>
      <c r="I18" s="34"/>
      <c r="J18" s="34"/>
      <c r="K18" s="33"/>
      <c r="L18" s="33"/>
      <c r="M18" s="33"/>
      <c r="N18" s="33"/>
      <c r="O18" s="33"/>
      <c r="P18" s="33"/>
      <c r="Q18" s="33"/>
      <c r="R18" s="38" t="e">
        <f>AVERAGE(E18:K18)</f>
        <v>#DIV/0!</v>
      </c>
      <c r="S18" s="29"/>
      <c r="T18" s="28"/>
      <c r="U18" s="29"/>
    </row>
    <row r="19" spans="2:21" ht="15" x14ac:dyDescent="0.2">
      <c r="B19" s="31">
        <v>14</v>
      </c>
      <c r="C19" s="31">
        <v>991</v>
      </c>
      <c r="D19" s="32" t="s">
        <v>29</v>
      </c>
      <c r="E19" s="33"/>
      <c r="F19" s="33"/>
      <c r="G19" s="33"/>
      <c r="H19" s="33"/>
      <c r="I19" s="33"/>
      <c r="J19" s="33"/>
      <c r="K19" s="33"/>
      <c r="L19" s="34"/>
      <c r="M19" s="34"/>
      <c r="N19" s="34"/>
      <c r="O19" s="34"/>
      <c r="P19" s="34"/>
      <c r="Q19" s="34"/>
      <c r="R19" s="38" t="e">
        <f>AVERAGE(E19:K19)</f>
        <v>#DIV/0!</v>
      </c>
      <c r="S19" s="29"/>
      <c r="T19" s="28"/>
      <c r="U19" s="29"/>
    </row>
    <row r="20" spans="2:21" ht="15" x14ac:dyDescent="0.2">
      <c r="B20" s="31">
        <v>15</v>
      </c>
      <c r="C20" s="31">
        <v>1006</v>
      </c>
      <c r="D20" s="32" t="s">
        <v>30</v>
      </c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8" t="e">
        <f>AVERAGE(E20:K20)</f>
        <v>#DIV/0!</v>
      </c>
      <c r="S20" s="29"/>
      <c r="T20" s="28"/>
      <c r="U20" s="29"/>
    </row>
    <row r="21" spans="2:21" ht="15" x14ac:dyDescent="0.2">
      <c r="B21" s="31">
        <v>16</v>
      </c>
      <c r="C21" s="31">
        <v>1035</v>
      </c>
      <c r="D21" s="32" t="s">
        <v>31</v>
      </c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8" t="e">
        <f>AVERAGE(E21:K21)</f>
        <v>#DIV/0!</v>
      </c>
      <c r="S21" s="29"/>
      <c r="T21" s="28"/>
      <c r="U21" s="29"/>
    </row>
    <row r="22" spans="2:21" ht="15" x14ac:dyDescent="0.2">
      <c r="B22" s="31">
        <v>17</v>
      </c>
      <c r="C22" s="31">
        <v>1088</v>
      </c>
      <c r="D22" s="32" t="s">
        <v>32</v>
      </c>
      <c r="E22" s="34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8" t="e">
        <f>AVERAGE(E22:K22)</f>
        <v>#DIV/0!</v>
      </c>
      <c r="S22" s="29"/>
      <c r="T22" s="28"/>
      <c r="U22" s="29"/>
    </row>
    <row r="23" spans="2:21" ht="15" x14ac:dyDescent="0.2">
      <c r="B23" s="31">
        <v>18</v>
      </c>
      <c r="C23" s="31">
        <v>1016</v>
      </c>
      <c r="D23" s="32" t="s">
        <v>33</v>
      </c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8" t="e">
        <f>AVERAGE(E23:K23)</f>
        <v>#DIV/0!</v>
      </c>
      <c r="S23" s="29"/>
      <c r="T23" s="28"/>
      <c r="U23" s="29"/>
    </row>
    <row r="24" spans="2:21" ht="15" x14ac:dyDescent="0.2">
      <c r="B24" s="31">
        <v>19</v>
      </c>
      <c r="C24" s="31">
        <v>1062</v>
      </c>
      <c r="D24" s="32" t="s">
        <v>34</v>
      </c>
      <c r="E24" s="33"/>
      <c r="F24" s="34"/>
      <c r="G24" s="33"/>
      <c r="H24" s="33"/>
      <c r="I24" s="34"/>
      <c r="J24" s="33"/>
      <c r="K24" s="33"/>
      <c r="L24" s="34"/>
      <c r="M24" s="34"/>
      <c r="N24" s="34"/>
      <c r="O24" s="34"/>
      <c r="P24" s="34"/>
      <c r="Q24" s="34"/>
      <c r="R24" s="38" t="e">
        <f>AVERAGE(E24:K24)</f>
        <v>#DIV/0!</v>
      </c>
      <c r="S24" s="29"/>
      <c r="T24" s="28"/>
      <c r="U24" s="29"/>
    </row>
    <row r="25" spans="2:21" ht="15" x14ac:dyDescent="0.2">
      <c r="B25" s="31">
        <v>20</v>
      </c>
      <c r="C25" s="31">
        <v>1029</v>
      </c>
      <c r="D25" s="32" t="s">
        <v>35</v>
      </c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8" t="e">
        <f>AVERAGE(E25:K25)</f>
        <v>#DIV/0!</v>
      </c>
      <c r="S25" s="29"/>
      <c r="T25" s="28"/>
      <c r="U25" s="29"/>
    </row>
    <row r="26" spans="2:21" ht="15" x14ac:dyDescent="0.2">
      <c r="B26" s="25">
        <v>21</v>
      </c>
      <c r="C26" s="25">
        <v>994</v>
      </c>
      <c r="D26" s="20" t="s">
        <v>36</v>
      </c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38" t="e">
        <f>AVERAGE(E26:K26)</f>
        <v>#DIV/0!</v>
      </c>
      <c r="S26" s="29"/>
      <c r="T26" s="28"/>
      <c r="U26" s="29"/>
    </row>
    <row r="27" spans="2:21" ht="15" x14ac:dyDescent="0.2">
      <c r="B27" s="25">
        <v>22</v>
      </c>
      <c r="C27" s="25">
        <v>799</v>
      </c>
      <c r="D27" s="20" t="s">
        <v>37</v>
      </c>
      <c r="E27" s="27"/>
      <c r="F27" s="26"/>
      <c r="G27" s="27"/>
      <c r="H27" s="27"/>
      <c r="I27" s="26"/>
      <c r="J27" s="27"/>
      <c r="K27" s="26"/>
      <c r="L27" s="26"/>
      <c r="M27" s="26"/>
      <c r="N27" s="26"/>
      <c r="O27" s="26"/>
      <c r="P27" s="26"/>
      <c r="Q27" s="26"/>
      <c r="R27" s="38" t="e">
        <f>AVERAGE(E27:K27)</f>
        <v>#DIV/0!</v>
      </c>
      <c r="S27" s="29"/>
      <c r="T27" s="28"/>
      <c r="U27" s="29"/>
    </row>
    <row r="28" spans="2:21" ht="15" x14ac:dyDescent="0.2">
      <c r="B28" s="25">
        <v>23</v>
      </c>
      <c r="C28" s="25">
        <v>1091</v>
      </c>
      <c r="D28" s="20" t="s">
        <v>38</v>
      </c>
      <c r="E28" s="27"/>
      <c r="F28" s="27"/>
      <c r="G28" s="27"/>
      <c r="H28" s="27"/>
      <c r="I28" s="27"/>
      <c r="J28" s="27"/>
      <c r="K28" s="26"/>
      <c r="L28" s="27"/>
      <c r="M28" s="27"/>
      <c r="N28" s="27"/>
      <c r="O28" s="27"/>
      <c r="P28" s="27"/>
      <c r="Q28" s="27"/>
      <c r="R28" s="38" t="e">
        <f>AVERAGE(E28:K28)</f>
        <v>#DIV/0!</v>
      </c>
      <c r="S28" s="29"/>
      <c r="T28" s="28"/>
      <c r="U28" s="29"/>
    </row>
    <row r="29" spans="2:21" ht="15" x14ac:dyDescent="0.2">
      <c r="B29" s="25">
        <v>24</v>
      </c>
      <c r="C29" s="25">
        <v>1221</v>
      </c>
      <c r="D29" s="20" t="s">
        <v>39</v>
      </c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38" t="e">
        <f>AVERAGE(E29:K29)</f>
        <v>#DIV/0!</v>
      </c>
      <c r="S29" s="29"/>
      <c r="T29" s="28"/>
      <c r="U29" s="29"/>
    </row>
    <row r="30" spans="2:21" x14ac:dyDescent="0.2">
      <c r="T30" s="30"/>
    </row>
    <row r="31" spans="2:21" x14ac:dyDescent="0.2">
      <c r="T31" s="30"/>
    </row>
  </sheetData>
  <mergeCells count="2">
    <mergeCell ref="B2:D2"/>
    <mergeCell ref="E2:R2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Calificaciones</vt:lpstr>
      <vt:lpstr>Tareas</vt:lpstr>
      <vt:lpstr>Cuaderno</vt:lpstr>
      <vt:lpstr>Libro</vt:lpstr>
      <vt:lpstr>Anexos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Guerra Santibanez Elisa (BGSW/EBS3.1-SX)</dc:creator>
  <cp:lastModifiedBy>Guerra Santibanez Elisa (BGSW/EBS3.1-SX)</cp:lastModifiedBy>
  <dcterms:created xsi:type="dcterms:W3CDTF">2025-11-01T17:31:00Z</dcterms:created>
  <dcterms:modified xsi:type="dcterms:W3CDTF">2025-12-15T06:30:29Z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8EE7C113E98E48888CB9CD06F3DFCDEC_12</vt:lpwstr>
  </property>
  <property fmtid="{D5CDD505-2E9C-101B-9397-08002B2CF9AE}" pid="3" name="KSOProductBuildVer">
    <vt:lpwstr>2058-12.2.0.23155</vt:lpwstr>
  </property>
</Properties>
</file>