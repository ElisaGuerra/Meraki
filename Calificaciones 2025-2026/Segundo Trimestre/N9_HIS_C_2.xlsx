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SE2GA\Documents\Personal\Tere Guerra\Meraki\Calificaciones 2025-2026\Segundo Trimestre\"/>
    </mc:Choice>
  </mc:AlternateContent>
  <xr:revisionPtr revIDLastSave="0" documentId="13_ncr:1_{338E8997-6AD3-4D27-B6C1-594E4FA3F2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alificaciones" sheetId="3" r:id="rId1"/>
    <sheet name="Tareas" sheetId="1" r:id="rId2"/>
    <sheet name="Libro" sheetId="6" r:id="rId3"/>
    <sheet name="Anexos" sheetId="9" r:id="rId4"/>
    <sheet name="Cuaderno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9" l="1"/>
  <c r="P11" i="9"/>
  <c r="P10" i="9"/>
  <c r="P9" i="9"/>
  <c r="P8" i="9"/>
  <c r="P7" i="9"/>
  <c r="P6" i="9"/>
  <c r="P12" i="8"/>
  <c r="P11" i="8"/>
  <c r="P10" i="8"/>
  <c r="P9" i="8"/>
  <c r="P8" i="8"/>
  <c r="P7" i="8"/>
  <c r="P6" i="8"/>
  <c r="AS12" i="6"/>
  <c r="J12" i="3" s="1"/>
  <c r="L12" i="3" s="1"/>
  <c r="AS11" i="6"/>
  <c r="J11" i="3" s="1"/>
  <c r="L11" i="3" s="1"/>
  <c r="AS10" i="6"/>
  <c r="J10" i="3" s="1"/>
  <c r="L10" i="3" s="1"/>
  <c r="AS9" i="6"/>
  <c r="J9" i="3" s="1"/>
  <c r="L9" i="3" s="1"/>
  <c r="AS8" i="6"/>
  <c r="J8" i="3" s="1"/>
  <c r="L8" i="3" s="1"/>
  <c r="AS7" i="6"/>
  <c r="J7" i="3" s="1"/>
  <c r="L7" i="3" s="1"/>
  <c r="AS6" i="6"/>
  <c r="J6" i="3" s="1"/>
  <c r="Y12" i="1"/>
  <c r="Y11" i="1"/>
  <c r="Y10" i="1"/>
  <c r="Y9" i="1"/>
  <c r="Y8" i="1"/>
  <c r="Y7" i="1"/>
  <c r="Y6" i="1"/>
  <c r="K13" i="3"/>
  <c r="I13" i="3"/>
  <c r="H13" i="3"/>
  <c r="G13" i="3"/>
  <c r="F13" i="3"/>
  <c r="E13" i="3"/>
  <c r="I12" i="3"/>
  <c r="I11" i="3"/>
  <c r="I10" i="3"/>
  <c r="I9" i="3"/>
  <c r="I8" i="3"/>
  <c r="I7" i="3"/>
  <c r="I6" i="3"/>
  <c r="J13" i="3" l="1"/>
  <c r="L6" i="3"/>
  <c r="L13" i="3" s="1"/>
</calcChain>
</file>

<file path=xl/sharedStrings.xml><?xml version="1.0" encoding="utf-8"?>
<sst xmlns="http://schemas.openxmlformats.org/spreadsheetml/2006/main" count="182" uniqueCount="115">
  <si>
    <t>N9 SECUNDARIA 3°A</t>
  </si>
  <si>
    <t>Historia</t>
  </si>
  <si>
    <t>Concepto a Calificar</t>
  </si>
  <si>
    <t>Examen 1</t>
  </si>
  <si>
    <t>Examen 2</t>
  </si>
  <si>
    <t>Examen Trimestral</t>
  </si>
  <si>
    <t>Disciplina</t>
  </si>
  <si>
    <t>Tareas</t>
  </si>
  <si>
    <t>Registro Diario</t>
  </si>
  <si>
    <t>Proyecto</t>
  </si>
  <si>
    <t>Promedio</t>
  </si>
  <si>
    <t>Comentario de Apoyo Requerido</t>
  </si>
  <si>
    <t>Porcentaje</t>
  </si>
  <si>
    <t>No.</t>
  </si>
  <si>
    <t>Matrícula</t>
  </si>
  <si>
    <t>Nombre del Alumno</t>
  </si>
  <si>
    <t>Abarca Sanchez Gabriel Alejandro</t>
  </si>
  <si>
    <t>Almanza Rocha Alessandra Samantha</t>
  </si>
  <si>
    <t>Chavez Cardenas Jaime Andres</t>
  </si>
  <si>
    <t>Gomez Zamora Eduardo</t>
  </si>
  <si>
    <t>Martinez Elizondo Iker Matias</t>
  </si>
  <si>
    <t>Matute Castillo Danna Alessandra</t>
  </si>
  <si>
    <t>Velazquez Salazar Valentina</t>
  </si>
  <si>
    <t>TOTAL</t>
  </si>
  <si>
    <t>Tarea</t>
  </si>
  <si>
    <t>¿Qué es el ADN?</t>
  </si>
  <si>
    <t>Civilizaciones Egipto, Mesopotamia y China</t>
  </si>
  <si>
    <t>Fósiles de homínidos</t>
  </si>
  <si>
    <t>Investigación de un homínido antepasado</t>
  </si>
  <si>
    <t>La teoría de la evolución de Darwin</t>
  </si>
  <si>
    <t>Civilizaciones India, Grecia y Roma</t>
  </si>
  <si>
    <t>Ideas de la evolución de Darwin</t>
  </si>
  <si>
    <t>¿Qué es la antropología?</t>
  </si>
  <si>
    <t>Jerarquización de las civilizaciones antiguas,</t>
  </si>
  <si>
    <t>Países que rodean el mar mediterráneo</t>
  </si>
  <si>
    <t>Biografía de Cleopatra o Julio César</t>
  </si>
  <si>
    <t> Mito o leyenda de la edad media </t>
  </si>
  <si>
    <t>¿Qué es la teología?</t>
  </si>
  <si>
    <t>Maqueta de un castillo medieval</t>
  </si>
  <si>
    <t>Mapa de Europa con los respectivos renos feudales</t>
  </si>
  <si>
    <t>Aportes de la cultura árabe a la cultura occidental</t>
  </si>
  <si>
    <t>Imagen sobre una pintura o escultura renacentista</t>
  </si>
  <si>
    <t>Biografía de algún artista renacentista</t>
  </si>
  <si>
    <t>El turismo actual</t>
  </si>
  <si>
    <t>Páginas</t>
  </si>
  <si>
    <t>1</t>
  </si>
  <si>
    <t>Libro</t>
  </si>
  <si>
    <t>La Independencia en América</t>
  </si>
  <si>
    <t>4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</si>
  <si>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</si>
  <si>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</si>
  <si>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</si>
  <si>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</si>
  <si>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</si>
  <si>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</si>
  <si>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</si>
  <si>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</si>
  <si>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</si>
  <si>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</si>
  <si>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Actividad</t>
  </si>
  <si>
    <t>Procesos de Independencia</t>
  </si>
  <si>
    <t>Lideres Independentistas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</si>
  <si>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</si>
  <si>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</si>
  <si>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</si>
  <si>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</si>
  <si>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</si>
  <si>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</si>
  <si>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</si>
  <si>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</si>
  <si>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</si>
  <si>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</si>
  <si>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</si>
  <si>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Independencia de las trece colonias</t>
  </si>
  <si>
    <t>Dependencia independiente</t>
  </si>
  <si>
    <t>Las revoluciones modernas</t>
  </si>
  <si>
    <t>Origen de la industria</t>
  </si>
  <si>
    <t>Revoluciones que cambiaron al mundo</t>
  </si>
  <si>
    <t>28</t>
  </si>
  <si>
    <t>29</t>
  </si>
  <si>
    <t>30</t>
  </si>
  <si>
    <t>De occidente para el mundo</t>
  </si>
  <si>
    <t>31</t>
  </si>
  <si>
    <t>32</t>
  </si>
  <si>
    <t>33</t>
  </si>
  <si>
    <t>34</t>
  </si>
  <si>
    <t>35</t>
  </si>
  <si>
    <t>Surgimiento del sistema capitalista</t>
  </si>
  <si>
    <t>36</t>
  </si>
  <si>
    <t>37</t>
  </si>
  <si>
    <t>38</t>
  </si>
  <si>
    <t>Capitalismo latente</t>
  </si>
  <si>
    <t>39</t>
  </si>
  <si>
    <t>40</t>
  </si>
  <si>
    <t>41</t>
  </si>
  <si>
    <t>42</t>
  </si>
  <si>
    <t>43</t>
  </si>
  <si>
    <t>163</t>
  </si>
  <si>
    <t>Guerras de indenpendencia en Latino América</t>
  </si>
  <si>
    <t>173</t>
  </si>
  <si>
    <t>Bélice el último en la lista</t>
  </si>
  <si>
    <t>175</t>
  </si>
  <si>
    <t>Colonias en la actualidad</t>
  </si>
  <si>
    <t>177</t>
  </si>
  <si>
    <t>179</t>
  </si>
  <si>
    <t>Cambios y permanencias</t>
  </si>
  <si>
    <t>181</t>
  </si>
  <si>
    <t>Herencia de la Revolución Industrial</t>
  </si>
  <si>
    <t>183</t>
  </si>
  <si>
    <t>Declaración universal</t>
  </si>
  <si>
    <t>185</t>
  </si>
  <si>
    <t>Juventud revolucionaria</t>
  </si>
  <si>
    <t>187</t>
  </si>
  <si>
    <t>Napoleón</t>
  </si>
  <si>
    <t>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</si>
</sst>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theme="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9" fontId="0" fillId="0" borderId="1" xfId="0" applyNumberFormat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4" fillId="5" borderId="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168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/>
    <xf numFmtId="168" fontId="2" fillId="0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8" fontId="2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textRotation="90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textRotation="90"/>
    </xf>
    <xf numFmtId="0" fontId="2" fillId="7" borderId="4" xfId="0" applyFont="1" applyFill="1" applyBorder="1" applyAlignment="1">
      <alignment horizontal="center" vertical="center" textRotation="90"/>
    </xf>
    <xf numFmtId="0" fontId="5" fillId="3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 textRotation="90" wrapText="1"/>
    </xf>
    <xf numFmtId="0" fontId="2" fillId="7" borderId="2" xfId="0" applyFont="1" applyFill="1" applyBorder="1" applyAlignment="1">
      <alignment horizontal="center" vertical="center" textRotation="90" wrapText="1"/>
    </xf>
    <xf numFmtId="0" fontId="2" fillId="7" borderId="3" xfId="0" applyFont="1" applyFill="1" applyBorder="1" applyAlignment="1">
      <alignment horizontal="center" vertical="center" textRotation="90" wrapText="1"/>
    </xf>
    <xf numFmtId="0" fontId="2" fillId="7" borderId="4" xfId="0" applyFont="1" applyFill="1" applyBorder="1" applyAlignment="1">
      <alignment horizontal="center" vertical="center" textRotation="90" wrapText="1"/>
    </xf>
    <xf numFmtId="0" fontId="5" fillId="7" borderId="2" xfId="0" applyFont="1" applyFill="1" applyBorder="1" applyAlignment="1">
      <alignment horizontal="center" vertical="center" textRotation="90"/>
    </xf>
    <xf numFmtId="0" fontId="5" fillId="7" borderId="3" xfId="0" applyFont="1" applyFill="1" applyBorder="1" applyAlignment="1">
      <alignment horizontal="center" vertical="center" textRotation="90"/>
    </xf>
    <xf numFmtId="0" fontId="5" fillId="7" borderId="4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 textRotation="90"/>
    </xf>
    <xf numFmtId="0" fontId="2" fillId="7" borderId="2" xfId="0" applyFont="1" applyFill="1" applyBorder="1" applyAlignment="1">
      <alignment horizontal="center" vertical="center" textRotation="90"/>
    </xf>
    <xf numFmtId="0" fontId="2" fillId="7" borderId="2" xfId="0" applyFont="1" applyFill="1" applyBorder="1" applyAlignment="1">
      <alignment horizontal="center" vertical="center" textRotation="90" wrapText="1"/>
    </xf>
    <xf numFmtId="0" fontId="5" fillId="7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"/>
  <sheetViews>
    <sheetView topLeftCell="E3" zoomScale="210" zoomScaleNormal="210" workbookViewId="0">
      <selection activeCell="F15" sqref="F15"/>
    </sheetView>
  </sheetViews>
  <sheetFormatPr defaultColWidth="9" defaultRowHeight="13.5" x14ac:dyDescent="0.15"/>
  <cols>
    <col min="3" max="3" width="12.5" customWidth="1"/>
    <col min="4" max="4" width="34.875" customWidth="1"/>
    <col min="5" max="6" width="9.375" customWidth="1"/>
    <col min="7" max="7" width="17.5" customWidth="1"/>
    <col min="8" max="8" width="10" customWidth="1"/>
    <col min="9" max="9" width="6.875" customWidth="1"/>
    <col min="10" max="10" width="14.125" customWidth="1"/>
    <col min="11" max="11" width="8.5" customWidth="1"/>
    <col min="12" max="12" width="9.5" customWidth="1"/>
    <col min="13" max="13" width="29.875" customWidth="1"/>
  </cols>
  <sheetData>
    <row r="2" spans="2:13" ht="15" x14ac:dyDescent="0.25">
      <c r="B2" s="14" t="s">
        <v>0</v>
      </c>
      <c r="C2" s="14"/>
      <c r="D2" s="14"/>
      <c r="E2" s="14" t="s">
        <v>1</v>
      </c>
      <c r="F2" s="14"/>
      <c r="G2" s="14"/>
      <c r="H2" s="14"/>
      <c r="I2" s="14"/>
      <c r="J2" s="14"/>
      <c r="K2" s="14"/>
      <c r="L2" s="14"/>
      <c r="M2" s="14"/>
    </row>
    <row r="3" spans="2:13" ht="15" x14ac:dyDescent="0.25">
      <c r="B3" s="1"/>
      <c r="C3" s="1"/>
      <c r="D3" s="8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</row>
    <row r="4" spans="2:13" x14ac:dyDescent="0.15">
      <c r="B4" s="5"/>
      <c r="C4" s="5"/>
      <c r="D4" s="5" t="s">
        <v>12</v>
      </c>
      <c r="E4" s="9">
        <v>0.09</v>
      </c>
      <c r="F4" s="9">
        <v>0.09</v>
      </c>
      <c r="G4" s="9">
        <v>0.25</v>
      </c>
      <c r="H4" s="9">
        <v>7.0000000000000007E-2</v>
      </c>
      <c r="I4" s="9">
        <v>0.2</v>
      </c>
      <c r="J4" s="9">
        <v>0.2</v>
      </c>
      <c r="K4" s="9">
        <v>0.1</v>
      </c>
      <c r="L4" s="1"/>
      <c r="M4" s="5"/>
    </row>
    <row r="5" spans="2:13" ht="15" x14ac:dyDescent="0.25">
      <c r="B5" s="2" t="s">
        <v>13</v>
      </c>
      <c r="C5" s="2" t="s">
        <v>14</v>
      </c>
      <c r="D5" s="3" t="s">
        <v>15</v>
      </c>
      <c r="E5" s="5"/>
      <c r="F5" s="5"/>
      <c r="G5" s="5"/>
      <c r="H5" s="5"/>
      <c r="I5" s="5"/>
      <c r="J5" s="5"/>
      <c r="K5" s="5"/>
      <c r="L5" s="1"/>
      <c r="M5" s="5"/>
    </row>
    <row r="6" spans="2:13" ht="15" x14ac:dyDescent="0.25">
      <c r="B6" s="4">
        <v>1</v>
      </c>
      <c r="C6" s="4">
        <v>1045</v>
      </c>
      <c r="D6" t="s">
        <v>16</v>
      </c>
      <c r="E6" s="10">
        <v>0</v>
      </c>
      <c r="F6" s="11">
        <v>10</v>
      </c>
      <c r="G6" s="11">
        <v>0</v>
      </c>
      <c r="H6" s="11">
        <v>0</v>
      </c>
      <c r="I6" s="11">
        <f>Tareas!Y6</f>
        <v>0</v>
      </c>
      <c r="J6" s="11" t="e">
        <f>Libro!AS6*0.5</f>
        <v>#DIV/0!</v>
      </c>
      <c r="K6" s="11">
        <v>0</v>
      </c>
      <c r="L6" s="7" t="e">
        <f>E6*0.09+F6*0.09+G8*0.25+H6*0.07+I6*0.2+J6*0.2+K6*0.1</f>
        <v>#DIV/0!</v>
      </c>
      <c r="M6" s="5"/>
    </row>
    <row r="7" spans="2:13" ht="15" x14ac:dyDescent="0.25">
      <c r="B7" s="4">
        <v>2</v>
      </c>
      <c r="C7" s="4">
        <v>1060</v>
      </c>
      <c r="D7" s="5" t="s">
        <v>17</v>
      </c>
      <c r="E7" s="11">
        <v>6</v>
      </c>
      <c r="F7" s="11">
        <v>9.3000000000000007</v>
      </c>
      <c r="G7" s="11">
        <v>0</v>
      </c>
      <c r="H7" s="11">
        <v>0</v>
      </c>
      <c r="I7" s="11">
        <f>Tareas!Y7</f>
        <v>8.9473684210526301</v>
      </c>
      <c r="J7" s="11" t="e">
        <f>Libro!AS7*0.5</f>
        <v>#DIV/0!</v>
      </c>
      <c r="K7" s="11">
        <v>0</v>
      </c>
      <c r="L7" s="7" t="e">
        <f t="shared" ref="L7:L12" si="0">E7*0.09+F7*0.09+G7*0.25+H7*0.07+I7*0.2+J7*0.2+K7*0.1</f>
        <v>#DIV/0!</v>
      </c>
      <c r="M7" s="5"/>
    </row>
    <row r="8" spans="2:13" ht="15" x14ac:dyDescent="0.25">
      <c r="B8" s="4">
        <v>3</v>
      </c>
      <c r="C8" s="4">
        <v>1108</v>
      </c>
      <c r="D8" s="5" t="s">
        <v>18</v>
      </c>
      <c r="E8" s="11">
        <v>7</v>
      </c>
      <c r="F8" s="11">
        <v>10</v>
      </c>
      <c r="G8" s="11">
        <v>0</v>
      </c>
      <c r="H8" s="11">
        <v>0</v>
      </c>
      <c r="I8" s="11">
        <f>Tareas!Y8</f>
        <v>3.6842105263157898</v>
      </c>
      <c r="J8" s="11" t="e">
        <f>Libro!AS8*0.5</f>
        <v>#DIV/0!</v>
      </c>
      <c r="K8" s="11">
        <v>0</v>
      </c>
      <c r="L8" s="7" t="e">
        <f t="shared" si="0"/>
        <v>#DIV/0!</v>
      </c>
      <c r="M8" s="5"/>
    </row>
    <row r="9" spans="2:13" ht="15" x14ac:dyDescent="0.25">
      <c r="B9" s="4">
        <v>4</v>
      </c>
      <c r="C9" s="4">
        <v>876</v>
      </c>
      <c r="D9" s="5" t="s">
        <v>19</v>
      </c>
      <c r="E9" s="11">
        <v>6</v>
      </c>
      <c r="F9" s="11">
        <v>10</v>
      </c>
      <c r="G9" s="11">
        <v>0</v>
      </c>
      <c r="H9" s="11">
        <v>0</v>
      </c>
      <c r="I9" s="11">
        <f>Tareas!Y9</f>
        <v>8.9473684210526301</v>
      </c>
      <c r="J9" s="11" t="e">
        <f>Libro!AS9*0.5</f>
        <v>#DIV/0!</v>
      </c>
      <c r="K9" s="11">
        <v>0</v>
      </c>
      <c r="L9" s="7" t="e">
        <f t="shared" si="0"/>
        <v>#DIV/0!</v>
      </c>
      <c r="M9" s="5"/>
    </row>
    <row r="10" spans="2:13" ht="15" x14ac:dyDescent="0.25">
      <c r="B10" s="4">
        <v>5</v>
      </c>
      <c r="C10" s="4">
        <v>639</v>
      </c>
      <c r="D10" s="5" t="s">
        <v>20</v>
      </c>
      <c r="E10" s="11">
        <v>8</v>
      </c>
      <c r="F10" s="11">
        <v>9.3000000000000007</v>
      </c>
      <c r="G10" s="11">
        <v>0</v>
      </c>
      <c r="H10" s="11">
        <v>0</v>
      </c>
      <c r="I10" s="11">
        <f>Tareas!Y10</f>
        <v>6.3157894736842097</v>
      </c>
      <c r="J10" s="11" t="e">
        <f>Libro!AS10*0.5</f>
        <v>#DIV/0!</v>
      </c>
      <c r="K10" s="11">
        <v>0</v>
      </c>
      <c r="L10" s="7" t="e">
        <f t="shared" si="0"/>
        <v>#DIV/0!</v>
      </c>
      <c r="M10" s="5"/>
    </row>
    <row r="11" spans="2:13" ht="15" x14ac:dyDescent="0.25">
      <c r="B11" s="4">
        <v>6</v>
      </c>
      <c r="C11" s="4">
        <v>1224</v>
      </c>
      <c r="D11" s="5" t="s">
        <v>21</v>
      </c>
      <c r="E11" s="11">
        <v>8</v>
      </c>
      <c r="F11" s="11">
        <v>8</v>
      </c>
      <c r="G11" s="11">
        <v>0</v>
      </c>
      <c r="H11" s="11">
        <v>0</v>
      </c>
      <c r="I11" s="11">
        <f>Tareas!Y11</f>
        <v>8.4210526315789505</v>
      </c>
      <c r="J11" s="11" t="e">
        <f>Libro!AS11*0.5</f>
        <v>#DIV/0!</v>
      </c>
      <c r="K11" s="11">
        <v>0</v>
      </c>
      <c r="L11" s="7" t="e">
        <f t="shared" si="0"/>
        <v>#DIV/0!</v>
      </c>
      <c r="M11" s="5"/>
    </row>
    <row r="12" spans="2:13" ht="15" x14ac:dyDescent="0.25">
      <c r="B12" s="4">
        <v>7</v>
      </c>
      <c r="C12" s="4">
        <v>1069</v>
      </c>
      <c r="D12" s="5" t="s">
        <v>22</v>
      </c>
      <c r="E12" s="11">
        <v>5</v>
      </c>
      <c r="F12" s="11">
        <v>8.6999999999999993</v>
      </c>
      <c r="G12" s="11">
        <v>0</v>
      </c>
      <c r="H12" s="11">
        <v>0</v>
      </c>
      <c r="I12" s="11">
        <f>Tareas!Y12</f>
        <v>5.2631578947368398</v>
      </c>
      <c r="J12" s="11" t="e">
        <f>Libro!AS12*0.5</f>
        <v>#DIV/0!</v>
      </c>
      <c r="K12" s="11">
        <v>0</v>
      </c>
      <c r="L12" s="7" t="e">
        <f t="shared" si="0"/>
        <v>#DIV/0!</v>
      </c>
      <c r="M12" s="5"/>
    </row>
    <row r="13" spans="2:13" ht="15" x14ac:dyDescent="0.25">
      <c r="B13" s="15" t="s">
        <v>23</v>
      </c>
      <c r="C13" s="16"/>
      <c r="D13" s="17"/>
      <c r="E13" s="12">
        <f t="shared" ref="E13:L13" si="1">AVERAGE(E6:E12)</f>
        <v>5.71428571428571</v>
      </c>
      <c r="F13" s="12">
        <f t="shared" si="1"/>
        <v>9.3285714285714292</v>
      </c>
      <c r="G13" s="12">
        <f t="shared" si="1"/>
        <v>0</v>
      </c>
      <c r="H13" s="12">
        <f t="shared" si="1"/>
        <v>0</v>
      </c>
      <c r="I13" s="12">
        <f t="shared" si="1"/>
        <v>5.9398496240601499</v>
      </c>
      <c r="J13" s="12" t="e">
        <f t="shared" si="1"/>
        <v>#DIV/0!</v>
      </c>
      <c r="K13" s="12">
        <f t="shared" si="1"/>
        <v>0</v>
      </c>
      <c r="L13" s="12" t="e">
        <f t="shared" si="1"/>
        <v>#DIV/0!</v>
      </c>
      <c r="M13" s="13"/>
    </row>
  </sheetData>
  <mergeCells count="3">
    <mergeCell ref="B2:D2"/>
    <mergeCell ref="E2:M2"/>
    <mergeCell ref="B13:D1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12"/>
  <sheetViews>
    <sheetView zoomScale="80" zoomScaleNormal="80" workbookViewId="0">
      <selection activeCell="X9" sqref="B9:X9"/>
    </sheetView>
  </sheetViews>
  <sheetFormatPr defaultColWidth="9" defaultRowHeight="14.25" x14ac:dyDescent="0.2"/>
  <cols>
    <col min="1" max="2" width="9" style="20"/>
    <col min="3" max="3" width="12.5" style="20" customWidth="1"/>
    <col min="4" max="4" width="34.875" style="20" customWidth="1"/>
    <col min="5" max="5" width="4.5" style="20" customWidth="1"/>
    <col min="6" max="6" width="6.5" style="20" customWidth="1"/>
    <col min="7" max="7" width="4.375" style="20" customWidth="1"/>
    <col min="8" max="11" width="6.5" style="20" customWidth="1"/>
    <col min="12" max="12" width="8" style="20" customWidth="1"/>
    <col min="13" max="13" width="9.375" style="20" customWidth="1"/>
    <col min="14" max="16" width="6.5" style="20" customWidth="1"/>
    <col min="17" max="17" width="4.375" style="20" customWidth="1"/>
    <col min="18" max="23" width="6.5" style="20" customWidth="1"/>
    <col min="24" max="24" width="4.625" style="20" customWidth="1"/>
    <col min="25" max="25" width="12.5" style="20" customWidth="1"/>
    <col min="26" max="16384" width="9" style="20"/>
  </cols>
  <sheetData>
    <row r="2" spans="2:25" ht="15" x14ac:dyDescent="0.25">
      <c r="B2" s="18" t="s">
        <v>0</v>
      </c>
      <c r="C2" s="18"/>
      <c r="D2" s="18"/>
      <c r="E2" s="19"/>
      <c r="F2" s="18" t="s">
        <v>1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25" ht="147.75" customHeight="1" x14ac:dyDescent="0.25">
      <c r="B3" s="21"/>
      <c r="C3" s="21"/>
      <c r="D3" s="22" t="s">
        <v>24</v>
      </c>
      <c r="E3" s="23" t="s">
        <v>25</v>
      </c>
      <c r="F3" s="23" t="s">
        <v>26</v>
      </c>
      <c r="G3" s="23" t="s">
        <v>27</v>
      </c>
      <c r="H3" s="23" t="s">
        <v>28</v>
      </c>
      <c r="I3" s="23" t="s">
        <v>29</v>
      </c>
      <c r="J3" s="23" t="s">
        <v>30</v>
      </c>
      <c r="K3" s="23" t="s">
        <v>31</v>
      </c>
      <c r="L3" s="23" t="s">
        <v>32</v>
      </c>
      <c r="M3" s="23" t="s">
        <v>33</v>
      </c>
      <c r="N3" s="23" t="s">
        <v>34</v>
      </c>
      <c r="O3" s="23" t="s">
        <v>35</v>
      </c>
      <c r="P3" s="23" t="s">
        <v>36</v>
      </c>
      <c r="Q3" s="23" t="s">
        <v>37</v>
      </c>
      <c r="R3" s="23" t="s">
        <v>38</v>
      </c>
      <c r="S3" s="23" t="s">
        <v>39</v>
      </c>
      <c r="T3" s="23" t="s">
        <v>40</v>
      </c>
      <c r="U3" s="24" t="s">
        <v>36</v>
      </c>
      <c r="V3" s="24" t="s">
        <v>41</v>
      </c>
      <c r="W3" s="24" t="s">
        <v>42</v>
      </c>
      <c r="X3" s="24" t="s">
        <v>43</v>
      </c>
      <c r="Y3" s="25" t="s">
        <v>10</v>
      </c>
    </row>
    <row r="4" spans="2:25" ht="15" x14ac:dyDescent="0.25">
      <c r="B4" s="21"/>
      <c r="C4" s="21"/>
      <c r="D4" s="22"/>
      <c r="E4" s="26">
        <v>1</v>
      </c>
      <c r="F4" s="25">
        <v>2</v>
      </c>
      <c r="G4" s="25">
        <v>3</v>
      </c>
      <c r="H4" s="25">
        <v>4</v>
      </c>
      <c r="I4" s="25">
        <v>5</v>
      </c>
      <c r="J4" s="26">
        <v>6</v>
      </c>
      <c r="K4" s="25">
        <v>7</v>
      </c>
      <c r="L4" s="25">
        <v>8</v>
      </c>
      <c r="M4" s="26">
        <v>9</v>
      </c>
      <c r="N4" s="25">
        <v>10</v>
      </c>
      <c r="O4" s="25">
        <v>11</v>
      </c>
      <c r="P4" s="26">
        <v>12</v>
      </c>
      <c r="Q4" s="25">
        <v>13</v>
      </c>
      <c r="R4" s="25">
        <v>14</v>
      </c>
      <c r="S4" s="26">
        <v>15</v>
      </c>
      <c r="T4" s="25">
        <v>16</v>
      </c>
      <c r="U4" s="26">
        <v>17</v>
      </c>
      <c r="V4" s="25">
        <v>18</v>
      </c>
      <c r="W4" s="25">
        <v>19</v>
      </c>
      <c r="X4" s="26">
        <v>20</v>
      </c>
      <c r="Y4" s="25"/>
    </row>
    <row r="5" spans="2:25" ht="15" x14ac:dyDescent="0.25">
      <c r="B5" s="27" t="s">
        <v>13</v>
      </c>
      <c r="C5" s="27" t="s">
        <v>14</v>
      </c>
      <c r="D5" s="28" t="s">
        <v>15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30"/>
    </row>
    <row r="6" spans="2:25" ht="15" x14ac:dyDescent="0.25">
      <c r="B6" s="31">
        <v>1</v>
      </c>
      <c r="C6" s="31">
        <v>1045</v>
      </c>
      <c r="D6" s="20" t="s">
        <v>16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3">
        <f t="shared" ref="Y6:Y12" si="0">AVERAGE(F6:X6)</f>
        <v>0</v>
      </c>
    </row>
    <row r="7" spans="2:25" ht="15" x14ac:dyDescent="0.25">
      <c r="B7" s="31">
        <v>2</v>
      </c>
      <c r="C7" s="31">
        <v>1060</v>
      </c>
      <c r="D7" s="29" t="s">
        <v>17</v>
      </c>
      <c r="E7" s="32">
        <v>10</v>
      </c>
      <c r="F7" s="32">
        <v>10</v>
      </c>
      <c r="G7" s="34">
        <v>0</v>
      </c>
      <c r="H7" s="34">
        <v>10</v>
      </c>
      <c r="I7" s="34">
        <v>10</v>
      </c>
      <c r="J7" s="32">
        <v>10</v>
      </c>
      <c r="K7" s="34">
        <v>10</v>
      </c>
      <c r="L7" s="34">
        <v>10</v>
      </c>
      <c r="M7" s="34">
        <v>10</v>
      </c>
      <c r="N7" s="34">
        <v>10</v>
      </c>
      <c r="O7" s="34">
        <v>10</v>
      </c>
      <c r="P7" s="34">
        <v>0</v>
      </c>
      <c r="Q7" s="32">
        <v>10</v>
      </c>
      <c r="R7" s="32">
        <v>10</v>
      </c>
      <c r="S7" s="34">
        <v>10</v>
      </c>
      <c r="T7" s="34">
        <v>10</v>
      </c>
      <c r="U7" s="34">
        <v>10</v>
      </c>
      <c r="V7" s="34">
        <v>10</v>
      </c>
      <c r="W7" s="34">
        <v>10</v>
      </c>
      <c r="X7" s="32">
        <v>10</v>
      </c>
      <c r="Y7" s="33">
        <f t="shared" si="0"/>
        <v>8.9473684210526301</v>
      </c>
    </row>
    <row r="8" spans="2:25" ht="15" x14ac:dyDescent="0.25">
      <c r="B8" s="31">
        <v>3</v>
      </c>
      <c r="C8" s="31">
        <v>1108</v>
      </c>
      <c r="D8" s="29" t="s">
        <v>18</v>
      </c>
      <c r="E8" s="32">
        <v>0</v>
      </c>
      <c r="F8" s="32">
        <v>0</v>
      </c>
      <c r="G8" s="32">
        <v>0</v>
      </c>
      <c r="H8" s="32">
        <v>10</v>
      </c>
      <c r="I8" s="32">
        <v>0</v>
      </c>
      <c r="J8" s="32">
        <v>0</v>
      </c>
      <c r="K8" s="32">
        <v>0</v>
      </c>
      <c r="L8" s="32">
        <v>10</v>
      </c>
      <c r="M8" s="32">
        <v>0</v>
      </c>
      <c r="N8" s="32">
        <v>10</v>
      </c>
      <c r="O8" s="32">
        <v>0</v>
      </c>
      <c r="P8" s="32">
        <v>0</v>
      </c>
      <c r="Q8" s="32">
        <v>10</v>
      </c>
      <c r="R8" s="32">
        <v>10</v>
      </c>
      <c r="S8" s="32">
        <v>0</v>
      </c>
      <c r="T8" s="32">
        <v>0</v>
      </c>
      <c r="U8" s="32">
        <v>0</v>
      </c>
      <c r="V8" s="32">
        <v>10</v>
      </c>
      <c r="W8" s="32">
        <v>10</v>
      </c>
      <c r="X8" s="32">
        <v>0</v>
      </c>
      <c r="Y8" s="33">
        <f t="shared" si="0"/>
        <v>3.6842105263157898</v>
      </c>
    </row>
    <row r="9" spans="2:25" ht="15" x14ac:dyDescent="0.25">
      <c r="B9" s="35">
        <v>4</v>
      </c>
      <c r="C9" s="35">
        <v>876</v>
      </c>
      <c r="D9" s="36" t="s">
        <v>19</v>
      </c>
      <c r="E9" s="37">
        <v>10</v>
      </c>
      <c r="F9" s="37">
        <v>10</v>
      </c>
      <c r="G9" s="37">
        <v>0</v>
      </c>
      <c r="H9" s="37">
        <v>10</v>
      </c>
      <c r="I9" s="37">
        <v>10</v>
      </c>
      <c r="J9" s="37">
        <v>10</v>
      </c>
      <c r="K9" s="37">
        <v>10</v>
      </c>
      <c r="L9" s="37">
        <v>10</v>
      </c>
      <c r="M9" s="37">
        <v>10</v>
      </c>
      <c r="N9" s="37">
        <v>10</v>
      </c>
      <c r="O9" s="37">
        <v>10</v>
      </c>
      <c r="P9" s="37">
        <v>0</v>
      </c>
      <c r="Q9" s="37">
        <v>10</v>
      </c>
      <c r="R9" s="37">
        <v>10</v>
      </c>
      <c r="S9" s="37">
        <v>10</v>
      </c>
      <c r="T9" s="37">
        <v>10</v>
      </c>
      <c r="U9" s="37">
        <v>10</v>
      </c>
      <c r="V9" s="37">
        <v>10</v>
      </c>
      <c r="W9" s="37">
        <v>10</v>
      </c>
      <c r="X9" s="37">
        <v>10</v>
      </c>
      <c r="Y9" s="33">
        <f t="shared" si="0"/>
        <v>8.9473684210526301</v>
      </c>
    </row>
    <row r="10" spans="2:25" ht="15" x14ac:dyDescent="0.25">
      <c r="B10" s="31">
        <v>5</v>
      </c>
      <c r="C10" s="31">
        <v>639</v>
      </c>
      <c r="D10" s="29" t="s">
        <v>20</v>
      </c>
      <c r="E10" s="34">
        <v>10</v>
      </c>
      <c r="F10" s="34">
        <v>10</v>
      </c>
      <c r="G10" s="34">
        <v>0</v>
      </c>
      <c r="H10" s="34">
        <v>10</v>
      </c>
      <c r="I10" s="34">
        <v>0</v>
      </c>
      <c r="J10" s="34">
        <v>10</v>
      </c>
      <c r="K10" s="34">
        <v>10</v>
      </c>
      <c r="L10" s="34">
        <v>10</v>
      </c>
      <c r="M10" s="34">
        <v>0</v>
      </c>
      <c r="N10" s="34">
        <v>10</v>
      </c>
      <c r="O10" s="34">
        <v>0</v>
      </c>
      <c r="P10" s="34">
        <v>0</v>
      </c>
      <c r="Q10" s="34">
        <v>0</v>
      </c>
      <c r="R10" s="34">
        <v>10</v>
      </c>
      <c r="S10" s="34">
        <v>0</v>
      </c>
      <c r="T10" s="34">
        <v>10</v>
      </c>
      <c r="U10" s="34">
        <v>10</v>
      </c>
      <c r="V10" s="32">
        <v>10</v>
      </c>
      <c r="W10" s="34">
        <v>10</v>
      </c>
      <c r="X10" s="34">
        <v>10</v>
      </c>
      <c r="Y10" s="33">
        <f t="shared" si="0"/>
        <v>6.3157894736842097</v>
      </c>
    </row>
    <row r="11" spans="2:25" ht="15" x14ac:dyDescent="0.25">
      <c r="B11" s="31">
        <v>6</v>
      </c>
      <c r="C11" s="31">
        <v>1224</v>
      </c>
      <c r="D11" s="29" t="s">
        <v>21</v>
      </c>
      <c r="E11" s="34">
        <v>0</v>
      </c>
      <c r="F11" s="34">
        <v>10</v>
      </c>
      <c r="G11" s="34">
        <v>0</v>
      </c>
      <c r="H11" s="34">
        <v>10</v>
      </c>
      <c r="I11" s="34">
        <v>10</v>
      </c>
      <c r="J11" s="34">
        <v>10</v>
      </c>
      <c r="K11" s="34">
        <v>10</v>
      </c>
      <c r="L11" s="34">
        <v>10</v>
      </c>
      <c r="M11" s="34">
        <v>10</v>
      </c>
      <c r="N11" s="34">
        <v>0</v>
      </c>
      <c r="O11" s="34">
        <v>10</v>
      </c>
      <c r="P11" s="34">
        <v>10</v>
      </c>
      <c r="Q11" s="34">
        <v>0</v>
      </c>
      <c r="R11" s="34">
        <v>10</v>
      </c>
      <c r="S11" s="34">
        <v>10</v>
      </c>
      <c r="T11" s="34">
        <v>10</v>
      </c>
      <c r="U11" s="34">
        <v>10</v>
      </c>
      <c r="V11" s="34">
        <v>10</v>
      </c>
      <c r="W11" s="32">
        <v>10</v>
      </c>
      <c r="X11" s="32">
        <v>10</v>
      </c>
      <c r="Y11" s="33">
        <f t="shared" si="0"/>
        <v>8.4210526315789505</v>
      </c>
    </row>
    <row r="12" spans="2:25" ht="15" x14ac:dyDescent="0.25">
      <c r="B12" s="31">
        <v>7</v>
      </c>
      <c r="C12" s="31">
        <v>1069</v>
      </c>
      <c r="D12" s="29" t="s">
        <v>22</v>
      </c>
      <c r="E12" s="34">
        <v>10</v>
      </c>
      <c r="F12" s="34">
        <v>10</v>
      </c>
      <c r="G12" s="34">
        <v>0</v>
      </c>
      <c r="H12" s="34">
        <v>10</v>
      </c>
      <c r="I12" s="34">
        <v>0</v>
      </c>
      <c r="J12" s="34">
        <v>10</v>
      </c>
      <c r="K12" s="34">
        <v>10</v>
      </c>
      <c r="L12" s="34">
        <v>10</v>
      </c>
      <c r="M12" s="34">
        <v>0</v>
      </c>
      <c r="N12" s="34">
        <v>10</v>
      </c>
      <c r="O12" s="34">
        <v>0</v>
      </c>
      <c r="P12" s="34">
        <v>0</v>
      </c>
      <c r="Q12" s="34">
        <v>0</v>
      </c>
      <c r="R12" s="34">
        <v>10</v>
      </c>
      <c r="S12" s="34">
        <v>0</v>
      </c>
      <c r="T12" s="34">
        <v>0</v>
      </c>
      <c r="U12" s="34">
        <v>10</v>
      </c>
      <c r="V12" s="34">
        <v>10</v>
      </c>
      <c r="W12" s="34">
        <v>10</v>
      </c>
      <c r="X12" s="34">
        <v>0</v>
      </c>
      <c r="Y12" s="33">
        <f t="shared" si="0"/>
        <v>5.2631578947368398</v>
      </c>
    </row>
  </sheetData>
  <mergeCells count="4">
    <mergeCell ref="B2:D2"/>
    <mergeCell ref="F2:Y2"/>
    <mergeCell ref="D3:D4"/>
    <mergeCell ref="B3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S12"/>
  <sheetViews>
    <sheetView tabSelected="1" zoomScale="85" zoomScaleNormal="85" workbookViewId="0">
      <selection activeCell="Y22" sqref="Y22"/>
    </sheetView>
  </sheetViews>
  <sheetFormatPr defaultColWidth="9" defaultRowHeight="14.25" x14ac:dyDescent="0.2"/>
  <cols>
    <col min="1" max="2" width="9" style="20"/>
    <col min="3" max="3" width="12.5" style="20" customWidth="1"/>
    <col min="4" max="4" width="34.875" style="20" customWidth="1"/>
    <col min="5" max="6" width="4.5" style="20" bestFit="1" customWidth="1"/>
    <col min="7" max="7" width="4.375" style="20" customWidth="1"/>
    <col min="8" max="8" width="4.625" style="20" customWidth="1"/>
    <col min="9" max="27" width="4.5" style="20" bestFit="1" customWidth="1"/>
    <col min="28" max="28" width="6.5" style="20" customWidth="1"/>
    <col min="29" max="29" width="4.5" style="20" bestFit="1" customWidth="1"/>
    <col min="30" max="44" width="4.5" style="20" customWidth="1"/>
    <col min="45" max="45" width="9.625" style="20" customWidth="1"/>
    <col min="46" max="16384" width="9" style="20"/>
  </cols>
  <sheetData>
    <row r="2" spans="2:45" ht="15" x14ac:dyDescent="0.25">
      <c r="B2" s="18" t="s">
        <v>0</v>
      </c>
      <c r="C2" s="18"/>
      <c r="D2" s="18"/>
      <c r="E2" s="18" t="s">
        <v>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</row>
    <row r="3" spans="2:45" ht="165.75" customHeight="1" x14ac:dyDescent="0.25">
      <c r="B3" s="30"/>
      <c r="C3" s="30"/>
      <c r="D3" s="26" t="s">
        <v>46</v>
      </c>
      <c r="E3" s="55" t="s">
        <v>47</v>
      </c>
      <c r="F3" s="56"/>
      <c r="G3" s="52" t="s">
        <v>60</v>
      </c>
      <c r="H3" s="55" t="s">
        <v>61</v>
      </c>
      <c r="I3" s="56"/>
      <c r="J3" s="59" t="s">
        <v>73</v>
      </c>
      <c r="K3" s="60"/>
      <c r="L3" s="60"/>
      <c r="M3" s="60"/>
      <c r="N3" s="60"/>
      <c r="O3" s="61"/>
      <c r="P3" s="62" t="s">
        <v>74</v>
      </c>
      <c r="Q3" s="63"/>
      <c r="R3" s="63"/>
      <c r="S3" s="63"/>
      <c r="T3" s="64"/>
      <c r="U3" s="55" t="s">
        <v>75</v>
      </c>
      <c r="V3" s="65"/>
      <c r="W3" s="56"/>
      <c r="X3" s="55" t="s">
        <v>76</v>
      </c>
      <c r="Y3" s="65"/>
      <c r="Z3" s="65"/>
      <c r="AA3" s="56"/>
      <c r="AB3" s="59" t="s">
        <v>77</v>
      </c>
      <c r="AC3" s="60"/>
      <c r="AD3" s="60"/>
      <c r="AE3" s="61"/>
      <c r="AF3" s="59" t="s">
        <v>81</v>
      </c>
      <c r="AG3" s="60"/>
      <c r="AH3" s="60"/>
      <c r="AI3" s="60"/>
      <c r="AJ3" s="61"/>
      <c r="AK3" s="59" t="s">
        <v>87</v>
      </c>
      <c r="AL3" s="60"/>
      <c r="AM3" s="61"/>
      <c r="AN3" s="59" t="s">
        <v>91</v>
      </c>
      <c r="AO3" s="60"/>
      <c r="AP3" s="60"/>
      <c r="AQ3" s="60"/>
      <c r="AR3" s="61"/>
      <c r="AS3" s="25" t="s">
        <v>10</v>
      </c>
    </row>
    <row r="4" spans="2:45" ht="15" x14ac:dyDescent="0.25">
      <c r="B4" s="29"/>
      <c r="C4" s="29"/>
      <c r="D4" s="27" t="s">
        <v>44</v>
      </c>
      <c r="E4" s="53" t="s">
        <v>48</v>
      </c>
      <c r="F4" s="54">
        <v>5</v>
      </c>
      <c r="G4" s="53" t="s">
        <v>49</v>
      </c>
      <c r="H4" s="54">
        <v>7</v>
      </c>
      <c r="I4" s="53" t="s">
        <v>50</v>
      </c>
      <c r="J4" s="53" t="s">
        <v>51</v>
      </c>
      <c r="K4" s="53" t="s">
        <v>52</v>
      </c>
      <c r="L4" s="53" t="s">
        <v>53</v>
      </c>
      <c r="M4" s="53" t="s">
        <v>54</v>
      </c>
      <c r="N4" s="53" t="s">
        <v>55</v>
      </c>
      <c r="O4" s="53" t="s">
        <v>56</v>
      </c>
      <c r="P4" s="53" t="s">
        <v>57</v>
      </c>
      <c r="Q4" s="53" t="s">
        <v>58</v>
      </c>
      <c r="R4" s="53" t="s">
        <v>62</v>
      </c>
      <c r="S4" s="53" t="s">
        <v>63</v>
      </c>
      <c r="T4" s="53" t="s">
        <v>64</v>
      </c>
      <c r="U4" s="53" t="s">
        <v>65</v>
      </c>
      <c r="V4" s="53" t="s">
        <v>66</v>
      </c>
      <c r="W4" s="53" t="s">
        <v>67</v>
      </c>
      <c r="X4" s="53" t="s">
        <v>68</v>
      </c>
      <c r="Y4" s="53" t="s">
        <v>69</v>
      </c>
      <c r="Z4" s="53" t="s">
        <v>70</v>
      </c>
      <c r="AA4" s="53" t="s">
        <v>71</v>
      </c>
      <c r="AB4" s="53" t="s">
        <v>72</v>
      </c>
      <c r="AC4" s="53" t="s">
        <v>78</v>
      </c>
      <c r="AD4" s="53" t="s">
        <v>79</v>
      </c>
      <c r="AE4" s="53" t="s">
        <v>80</v>
      </c>
      <c r="AF4" s="53" t="s">
        <v>82</v>
      </c>
      <c r="AG4" s="53" t="s">
        <v>83</v>
      </c>
      <c r="AH4" s="53" t="s">
        <v>84</v>
      </c>
      <c r="AI4" s="53" t="s">
        <v>85</v>
      </c>
      <c r="AJ4" s="53" t="s">
        <v>86</v>
      </c>
      <c r="AK4" s="53" t="s">
        <v>88</v>
      </c>
      <c r="AL4" s="53" t="s">
        <v>89</v>
      </c>
      <c r="AM4" s="53" t="s">
        <v>90</v>
      </c>
      <c r="AN4" s="53" t="s">
        <v>92</v>
      </c>
      <c r="AO4" s="53" t="s">
        <v>93</v>
      </c>
      <c r="AP4" s="53" t="s">
        <v>94</v>
      </c>
      <c r="AQ4" s="53" t="s">
        <v>95</v>
      </c>
      <c r="AR4" s="53" t="s">
        <v>96</v>
      </c>
      <c r="AS4" s="26"/>
    </row>
    <row r="5" spans="2:45" ht="15" x14ac:dyDescent="0.25">
      <c r="B5" s="27" t="s">
        <v>13</v>
      </c>
      <c r="C5" s="27" t="s">
        <v>14</v>
      </c>
      <c r="D5" s="28" t="s">
        <v>15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50"/>
      <c r="Q5" s="49"/>
      <c r="R5" s="49"/>
      <c r="S5" s="49"/>
      <c r="T5" s="49"/>
      <c r="U5" s="49"/>
      <c r="V5" s="49"/>
      <c r="W5" s="50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1"/>
    </row>
    <row r="6" spans="2:45" ht="15" x14ac:dyDescent="0.2">
      <c r="B6" s="31">
        <v>1</v>
      </c>
      <c r="C6" s="31">
        <v>1045</v>
      </c>
      <c r="D6" s="20" t="s">
        <v>16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42" t="e">
        <f t="shared" ref="AS6:AS12" si="0">AVERAGE(E6:AC6)</f>
        <v>#DIV/0!</v>
      </c>
    </row>
    <row r="7" spans="2:45" ht="15" x14ac:dyDescent="0.2">
      <c r="B7" s="31">
        <v>2</v>
      </c>
      <c r="C7" s="31">
        <v>1060</v>
      </c>
      <c r="D7" s="29" t="s">
        <v>17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44"/>
      <c r="V7" s="37"/>
      <c r="W7" s="51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42" t="e">
        <f t="shared" si="0"/>
        <v>#DIV/0!</v>
      </c>
    </row>
    <row r="8" spans="2:45" ht="15" x14ac:dyDescent="0.2">
      <c r="B8" s="31">
        <v>3</v>
      </c>
      <c r="C8" s="31">
        <v>1108</v>
      </c>
      <c r="D8" s="29" t="s">
        <v>18</v>
      </c>
      <c r="E8" s="37"/>
      <c r="F8" s="37"/>
      <c r="G8" s="37"/>
      <c r="H8" s="37"/>
      <c r="I8" s="37"/>
      <c r="J8" s="37"/>
      <c r="K8" s="37"/>
      <c r="L8" s="37"/>
      <c r="M8" s="37"/>
      <c r="N8" s="44"/>
      <c r="O8" s="37"/>
      <c r="P8" s="37"/>
      <c r="Q8" s="37"/>
      <c r="R8" s="37"/>
      <c r="S8" s="37"/>
      <c r="T8" s="37"/>
      <c r="U8" s="37"/>
      <c r="V8" s="37"/>
      <c r="W8" s="51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42" t="e">
        <f t="shared" si="0"/>
        <v>#DIV/0!</v>
      </c>
    </row>
    <row r="9" spans="2:45" ht="15" x14ac:dyDescent="0.2">
      <c r="B9" s="35">
        <v>4</v>
      </c>
      <c r="C9" s="35">
        <v>876</v>
      </c>
      <c r="D9" s="36" t="s">
        <v>19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51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48" t="e">
        <f t="shared" si="0"/>
        <v>#DIV/0!</v>
      </c>
    </row>
    <row r="10" spans="2:45" ht="15" x14ac:dyDescent="0.2">
      <c r="B10" s="31">
        <v>5</v>
      </c>
      <c r="C10" s="31">
        <v>639</v>
      </c>
      <c r="D10" s="29" t="s">
        <v>20</v>
      </c>
      <c r="E10" s="37"/>
      <c r="F10" s="37"/>
      <c r="G10" s="37"/>
      <c r="H10" s="44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51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42" t="e">
        <f t="shared" si="0"/>
        <v>#DIV/0!</v>
      </c>
    </row>
    <row r="11" spans="2:45" ht="15" x14ac:dyDescent="0.2">
      <c r="B11" s="31">
        <v>6</v>
      </c>
      <c r="C11" s="31">
        <v>1224</v>
      </c>
      <c r="D11" s="29" t="s">
        <v>21</v>
      </c>
      <c r="E11" s="44"/>
      <c r="F11" s="44"/>
      <c r="G11" s="37"/>
      <c r="H11" s="44"/>
      <c r="I11" s="44"/>
      <c r="J11" s="37"/>
      <c r="K11" s="37"/>
      <c r="L11" s="37"/>
      <c r="M11" s="44"/>
      <c r="N11" s="44"/>
      <c r="O11" s="37"/>
      <c r="P11" s="37"/>
      <c r="Q11" s="37"/>
      <c r="R11" s="44"/>
      <c r="S11" s="37"/>
      <c r="T11" s="37"/>
      <c r="U11" s="37"/>
      <c r="V11" s="37"/>
      <c r="W11" s="51"/>
      <c r="X11" s="37"/>
      <c r="Y11" s="37"/>
      <c r="Z11" s="37"/>
      <c r="AA11" s="44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42" t="e">
        <f t="shared" si="0"/>
        <v>#DIV/0!</v>
      </c>
    </row>
    <row r="12" spans="2:45" ht="15" x14ac:dyDescent="0.2">
      <c r="B12" s="31">
        <v>7</v>
      </c>
      <c r="C12" s="31">
        <v>1069</v>
      </c>
      <c r="D12" s="29" t="s">
        <v>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51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42" t="e">
        <f t="shared" si="0"/>
        <v>#DIV/0!</v>
      </c>
    </row>
  </sheetData>
  <mergeCells count="12">
    <mergeCell ref="B2:D2"/>
    <mergeCell ref="E2:AS2"/>
    <mergeCell ref="E3:F3"/>
    <mergeCell ref="H3:I3"/>
    <mergeCell ref="J3:O3"/>
    <mergeCell ref="P3:T3"/>
    <mergeCell ref="U3:W3"/>
    <mergeCell ref="X3:AA3"/>
    <mergeCell ref="AB3:AE3"/>
    <mergeCell ref="AF3:AJ3"/>
    <mergeCell ref="AK3:AM3"/>
    <mergeCell ref="AN3:AR3"/>
  </mergeCells>
  <phoneticPr fontId="7" type="noConversion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3A48-0987-41D9-9056-534A69019C6F}">
  <dimension ref="B2:P12"/>
  <sheetViews>
    <sheetView zoomScale="85" zoomScaleNormal="85" workbookViewId="0">
      <selection activeCell="V3" sqref="V3"/>
    </sheetView>
  </sheetViews>
  <sheetFormatPr defaultColWidth="9" defaultRowHeight="14.25" x14ac:dyDescent="0.2"/>
  <cols>
    <col min="1" max="2" width="9" style="20"/>
    <col min="3" max="3" width="12.5" style="20" customWidth="1"/>
    <col min="4" max="4" width="34.875" style="20" customWidth="1"/>
    <col min="5" max="5" width="4.625" style="20" customWidth="1"/>
    <col min="6" max="7" width="4.5" style="20" bestFit="1" customWidth="1"/>
    <col min="8" max="8" width="5.875" style="20" bestFit="1" customWidth="1"/>
    <col min="9" max="11" width="4.5" style="20" bestFit="1" customWidth="1"/>
    <col min="12" max="12" width="5.875" style="20" bestFit="1" customWidth="1"/>
    <col min="13" max="15" width="4.5" style="20" customWidth="1"/>
    <col min="16" max="16" width="9.625" style="20" customWidth="1"/>
    <col min="17" max="16384" width="9" style="20"/>
  </cols>
  <sheetData>
    <row r="2" spans="2:16" ht="15" x14ac:dyDescent="0.2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2:16" ht="165.75" customHeight="1" x14ac:dyDescent="0.25">
      <c r="B3" s="30"/>
      <c r="C3" s="30"/>
      <c r="D3" s="26" t="s">
        <v>46</v>
      </c>
      <c r="E3" s="66" t="s">
        <v>61</v>
      </c>
      <c r="F3" s="59" t="s">
        <v>73</v>
      </c>
      <c r="G3" s="61"/>
      <c r="H3" s="68" t="s">
        <v>98</v>
      </c>
      <c r="I3" s="66" t="s">
        <v>100</v>
      </c>
      <c r="J3" s="66" t="s">
        <v>102</v>
      </c>
      <c r="K3" s="67" t="s">
        <v>105</v>
      </c>
      <c r="L3" s="67" t="s">
        <v>107</v>
      </c>
      <c r="M3" s="67" t="s">
        <v>109</v>
      </c>
      <c r="N3" s="67" t="s">
        <v>111</v>
      </c>
      <c r="O3" s="58" t="s">
        <v>113</v>
      </c>
      <c r="P3" s="25" t="s">
        <v>10</v>
      </c>
    </row>
    <row r="4" spans="2:16" ht="15" x14ac:dyDescent="0.25">
      <c r="B4" s="29"/>
      <c r="C4" s="29"/>
      <c r="D4" s="27" t="s">
        <v>44</v>
      </c>
      <c r="E4" s="54">
        <v>161</v>
      </c>
      <c r="F4" s="53" t="s">
        <v>97</v>
      </c>
      <c r="G4" s="53" t="s">
        <v>104</v>
      </c>
      <c r="H4" s="53" t="s">
        <v>99</v>
      </c>
      <c r="I4" s="53" t="s">
        <v>101</v>
      </c>
      <c r="J4" s="53" t="s">
        <v>103</v>
      </c>
      <c r="K4" s="53" t="s">
        <v>106</v>
      </c>
      <c r="L4" s="53" t="s">
        <v>108</v>
      </c>
      <c r="M4" s="53" t="s">
        <v>110</v>
      </c>
      <c r="N4" s="53" t="s">
        <v>112</v>
      </c>
      <c r="O4" s="53" t="s">
        <v>114</v>
      </c>
      <c r="P4" s="26"/>
    </row>
    <row r="5" spans="2:16" ht="15" x14ac:dyDescent="0.25">
      <c r="B5" s="27" t="s">
        <v>13</v>
      </c>
      <c r="C5" s="27" t="s">
        <v>14</v>
      </c>
      <c r="D5" s="28" t="s">
        <v>15</v>
      </c>
      <c r="E5" s="49"/>
      <c r="F5" s="49"/>
      <c r="G5" s="49"/>
      <c r="H5" s="50"/>
      <c r="I5" s="49"/>
      <c r="J5" s="49"/>
      <c r="K5" s="49"/>
      <c r="L5" s="49"/>
      <c r="M5" s="49"/>
      <c r="N5" s="49"/>
      <c r="O5" s="49"/>
      <c r="P5" s="41"/>
    </row>
    <row r="6" spans="2:16" ht="15" x14ac:dyDescent="0.2">
      <c r="B6" s="31">
        <v>1</v>
      </c>
      <c r="C6" s="31">
        <v>1045</v>
      </c>
      <c r="D6" s="20" t="s">
        <v>16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2" t="e">
        <f>AVERAGE(E6:K6)</f>
        <v>#DIV/0!</v>
      </c>
    </row>
    <row r="7" spans="2:16" ht="15" x14ac:dyDescent="0.2">
      <c r="B7" s="31">
        <v>2</v>
      </c>
      <c r="C7" s="31">
        <v>1060</v>
      </c>
      <c r="D7" s="29" t="s">
        <v>17</v>
      </c>
      <c r="E7" s="37"/>
      <c r="F7" s="37"/>
      <c r="G7" s="37"/>
      <c r="H7" s="37"/>
      <c r="I7" s="44"/>
      <c r="J7" s="37"/>
      <c r="K7" s="37"/>
      <c r="L7" s="37"/>
      <c r="M7" s="37"/>
      <c r="N7" s="37"/>
      <c r="O7" s="37"/>
      <c r="P7" s="42" t="e">
        <f>AVERAGE(E7:K7)</f>
        <v>#DIV/0!</v>
      </c>
    </row>
    <row r="8" spans="2:16" ht="15" x14ac:dyDescent="0.2">
      <c r="B8" s="31">
        <v>3</v>
      </c>
      <c r="C8" s="31">
        <v>1108</v>
      </c>
      <c r="D8" s="29" t="s">
        <v>18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42" t="e">
        <f>AVERAGE(E8:K8)</f>
        <v>#DIV/0!</v>
      </c>
    </row>
    <row r="9" spans="2:16" ht="15" x14ac:dyDescent="0.2">
      <c r="B9" s="35">
        <v>4</v>
      </c>
      <c r="C9" s="35">
        <v>876</v>
      </c>
      <c r="D9" s="36" t="s">
        <v>19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48" t="e">
        <f>AVERAGE(E9:K9)</f>
        <v>#DIV/0!</v>
      </c>
    </row>
    <row r="10" spans="2:16" ht="15" x14ac:dyDescent="0.2">
      <c r="B10" s="31">
        <v>5</v>
      </c>
      <c r="C10" s="31">
        <v>639</v>
      </c>
      <c r="D10" s="29" t="s">
        <v>20</v>
      </c>
      <c r="E10" s="44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42" t="e">
        <f>AVERAGE(E10:K10)</f>
        <v>#DIV/0!</v>
      </c>
    </row>
    <row r="11" spans="2:16" ht="15" x14ac:dyDescent="0.2">
      <c r="B11" s="31">
        <v>6</v>
      </c>
      <c r="C11" s="31">
        <v>1224</v>
      </c>
      <c r="D11" s="29" t="s">
        <v>21</v>
      </c>
      <c r="E11" s="44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42" t="e">
        <f>AVERAGE(E11:K11)</f>
        <v>#DIV/0!</v>
      </c>
    </row>
    <row r="12" spans="2:16" ht="15" x14ac:dyDescent="0.2">
      <c r="B12" s="31">
        <v>7</v>
      </c>
      <c r="C12" s="31">
        <v>1069</v>
      </c>
      <c r="D12" s="29" t="s">
        <v>22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42" t="e">
        <f>AVERAGE(E12:K12)</f>
        <v>#DIV/0!</v>
      </c>
    </row>
  </sheetData>
  <mergeCells count="3">
    <mergeCell ref="F3:G3"/>
    <mergeCell ref="B2:D2"/>
    <mergeCell ref="E2:P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2"/>
  <sheetViews>
    <sheetView zoomScale="85" zoomScaleNormal="85" workbookViewId="0">
      <selection activeCell="Q23" sqref="Q23"/>
    </sheetView>
  </sheetViews>
  <sheetFormatPr defaultColWidth="9" defaultRowHeight="14.25" x14ac:dyDescent="0.2"/>
  <cols>
    <col min="1" max="2" width="9" style="20"/>
    <col min="3" max="3" width="12.5" style="20" customWidth="1"/>
    <col min="4" max="4" width="34.875" style="20" customWidth="1"/>
    <col min="5" max="6" width="5.875" style="20" bestFit="1" customWidth="1"/>
    <col min="7" max="7" width="4.625" style="20" customWidth="1"/>
    <col min="8" max="10" width="5.875" style="20" bestFit="1" customWidth="1"/>
    <col min="11" max="11" width="4.625" style="20" customWidth="1"/>
    <col min="12" max="12" width="6.625" style="20" customWidth="1"/>
    <col min="13" max="14" width="5.875" style="20" bestFit="1" customWidth="1"/>
    <col min="15" max="15" width="4.625" style="20" customWidth="1"/>
    <col min="16" max="16" width="9.625" style="20" customWidth="1"/>
    <col min="17" max="16384" width="9" style="20"/>
  </cols>
  <sheetData>
    <row r="2" spans="2:16" ht="15" x14ac:dyDescent="0.25">
      <c r="B2" s="18" t="s">
        <v>0</v>
      </c>
      <c r="C2" s="18"/>
      <c r="D2" s="18"/>
      <c r="E2" s="18" t="s">
        <v>1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2:16" ht="133.5" customHeight="1" x14ac:dyDescent="0.25">
      <c r="B3" s="30"/>
      <c r="C3" s="30"/>
      <c r="D3" s="26" t="s">
        <v>59</v>
      </c>
      <c r="E3" s="23" t="s">
        <v>47</v>
      </c>
      <c r="F3" s="23" t="s">
        <v>60</v>
      </c>
      <c r="G3" s="23" t="s">
        <v>61</v>
      </c>
      <c r="H3" s="23" t="s">
        <v>73</v>
      </c>
      <c r="I3" s="23" t="s">
        <v>74</v>
      </c>
      <c r="J3" s="23" t="s">
        <v>75</v>
      </c>
      <c r="K3" s="23" t="s">
        <v>76</v>
      </c>
      <c r="L3" s="23" t="s">
        <v>77</v>
      </c>
      <c r="M3" s="23" t="s">
        <v>81</v>
      </c>
      <c r="N3" s="57" t="s">
        <v>87</v>
      </c>
      <c r="O3" s="57" t="s">
        <v>91</v>
      </c>
      <c r="P3" s="45" t="s">
        <v>10</v>
      </c>
    </row>
    <row r="4" spans="2:16" ht="15" x14ac:dyDescent="0.25">
      <c r="B4" s="29"/>
      <c r="C4" s="29"/>
      <c r="D4" s="27"/>
      <c r="E4" s="38" t="s">
        <v>45</v>
      </c>
      <c r="F4" s="39">
        <v>2</v>
      </c>
      <c r="G4" s="39">
        <v>3</v>
      </c>
      <c r="H4" s="39">
        <v>4</v>
      </c>
      <c r="I4" s="39">
        <v>5</v>
      </c>
      <c r="J4" s="39">
        <v>6</v>
      </c>
      <c r="K4" s="39">
        <v>7</v>
      </c>
      <c r="L4" s="39">
        <v>8</v>
      </c>
      <c r="M4" s="39">
        <v>9</v>
      </c>
      <c r="N4" s="39">
        <v>10</v>
      </c>
      <c r="O4" s="39">
        <v>11</v>
      </c>
      <c r="P4" s="46"/>
    </row>
    <row r="5" spans="2:16" ht="15" x14ac:dyDescent="0.25">
      <c r="B5" s="27" t="s">
        <v>13</v>
      </c>
      <c r="C5" s="27" t="s">
        <v>14</v>
      </c>
      <c r="D5" s="28" t="s">
        <v>15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7"/>
    </row>
    <row r="6" spans="2:16" ht="15" x14ac:dyDescent="0.2">
      <c r="B6" s="35">
        <v>1</v>
      </c>
      <c r="C6" s="35">
        <v>1045</v>
      </c>
      <c r="D6" s="43" t="s">
        <v>16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48" t="e">
        <f>AVERAGE(E6:O6)</f>
        <v>#DIV/0!</v>
      </c>
    </row>
    <row r="7" spans="2:16" ht="15" x14ac:dyDescent="0.2">
      <c r="B7" s="31">
        <v>2</v>
      </c>
      <c r="C7" s="31">
        <v>1060</v>
      </c>
      <c r="D7" s="29" t="s">
        <v>17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48" t="e">
        <f>AVERAGE(E7:O7)</f>
        <v>#DIV/0!</v>
      </c>
    </row>
    <row r="8" spans="2:16" ht="15" x14ac:dyDescent="0.2">
      <c r="B8" s="31">
        <v>3</v>
      </c>
      <c r="C8" s="31">
        <v>1108</v>
      </c>
      <c r="D8" s="29" t="s">
        <v>18</v>
      </c>
      <c r="E8" s="34"/>
      <c r="F8" s="32"/>
      <c r="G8" s="32"/>
      <c r="H8" s="32"/>
      <c r="I8" s="32"/>
      <c r="J8" s="32"/>
      <c r="K8" s="32"/>
      <c r="L8" s="32"/>
      <c r="M8" s="32"/>
      <c r="N8" s="34"/>
      <c r="O8" s="32"/>
      <c r="P8" s="48" t="e">
        <f>AVERAGE(E8:O8)</f>
        <v>#DIV/0!</v>
      </c>
    </row>
    <row r="9" spans="2:16" ht="15" x14ac:dyDescent="0.2">
      <c r="B9" s="31">
        <v>4</v>
      </c>
      <c r="C9" s="31">
        <v>876</v>
      </c>
      <c r="D9" s="29" t="s">
        <v>19</v>
      </c>
      <c r="E9" s="32"/>
      <c r="F9" s="32"/>
      <c r="G9" s="34"/>
      <c r="H9" s="32"/>
      <c r="I9" s="32"/>
      <c r="J9" s="32"/>
      <c r="K9" s="32"/>
      <c r="L9" s="32"/>
      <c r="M9" s="32"/>
      <c r="N9" s="32"/>
      <c r="O9" s="32"/>
      <c r="P9" s="48" t="e">
        <f>AVERAGE(E9:O9)</f>
        <v>#DIV/0!</v>
      </c>
    </row>
    <row r="10" spans="2:16" ht="15" x14ac:dyDescent="0.2">
      <c r="B10" s="31">
        <v>5</v>
      </c>
      <c r="C10" s="31">
        <v>639</v>
      </c>
      <c r="D10" s="29" t="s">
        <v>20</v>
      </c>
      <c r="E10" s="32"/>
      <c r="F10" s="32"/>
      <c r="G10" s="32"/>
      <c r="H10" s="34"/>
      <c r="I10" s="32"/>
      <c r="J10" s="32"/>
      <c r="K10" s="32"/>
      <c r="L10" s="32"/>
      <c r="M10" s="32"/>
      <c r="N10" s="32"/>
      <c r="O10" s="32"/>
      <c r="P10" s="48" t="e">
        <f>AVERAGE(E10:O10)</f>
        <v>#DIV/0!</v>
      </c>
    </row>
    <row r="11" spans="2:16" ht="15" x14ac:dyDescent="0.2">
      <c r="B11" s="31">
        <v>6</v>
      </c>
      <c r="C11" s="31">
        <v>1224</v>
      </c>
      <c r="D11" s="29" t="s">
        <v>21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48" t="e">
        <f>AVERAGE(E11:O11)</f>
        <v>#DIV/0!</v>
      </c>
    </row>
    <row r="12" spans="2:16" ht="15" x14ac:dyDescent="0.2">
      <c r="B12" s="31">
        <v>7</v>
      </c>
      <c r="C12" s="31">
        <v>1069</v>
      </c>
      <c r="D12" s="29" t="s">
        <v>22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48" t="e">
        <f>AVERAGE(E12:O12)</f>
        <v>#DIV/0!</v>
      </c>
    </row>
  </sheetData>
  <mergeCells count="2">
    <mergeCell ref="B2:D2"/>
    <mergeCell ref="E2:P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Tareas</vt:lpstr>
      <vt:lpstr>Libro</vt:lpstr>
      <vt:lpstr>Anexos</vt:lpstr>
      <vt:lpstr>Cuaderno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 Santibanez Elisa (BGSW/EBS3.1-SX)</dc:creator>
  <cp:lastModifiedBy>Guerra Santibanez Elisa (BGSW/EBS3.1-SX)</cp:lastModifiedBy>
  <dcterms:created xsi:type="dcterms:W3CDTF">2025-11-01T17:31:00Z</dcterms:created>
  <dcterms:modified xsi:type="dcterms:W3CDTF">2025-12-15T06:30:39Z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2DDD807D4B964C76B53D2C4B3484C95D_12</vt:lpwstr>
  </property>
  <property fmtid="{D5CDD505-2E9C-101B-9397-08002B2CF9AE}" pid="3" name="KSOProductBuildVer">
    <vt:lpwstr>2058-12.2.0.23155</vt:lpwstr>
  </property>
</Properties>
</file>