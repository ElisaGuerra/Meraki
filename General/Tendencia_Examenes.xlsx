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E2GA\Documents\Personal\Tere Guerra\Meraki\General\"/>
    </mc:Choice>
  </mc:AlternateContent>
  <xr:revisionPtr revIDLastSave="0" documentId="13_ncr:1_{2224DC04-9BB9-413A-9671-C3711A44FC55}" xr6:coauthVersionLast="47" xr6:coauthVersionMax="47" xr10:uidLastSave="{00000000-0000-0000-0000-000000000000}"/>
  <bookViews>
    <workbookView xWindow="22932" yWindow="-96" windowWidth="23256" windowHeight="12456" activeTab="6" xr2:uid="{B2EF7373-A7E6-423B-9BCC-817B77FBEC7D}"/>
  </bookViews>
  <sheets>
    <sheet name="N3 ENS" sheetId="5" r:id="rId1"/>
    <sheet name="N4 ENS" sheetId="2" r:id="rId2"/>
    <sheet name="N6 ENS" sheetId="4" r:id="rId3"/>
    <sheet name="N7 GEO" sheetId="6" r:id="rId4"/>
    <sheet name="N7 HIS" sheetId="7" r:id="rId5"/>
    <sheet name="N8 HIS" sheetId="8" r:id="rId6"/>
    <sheet name="N9 HIS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9" l="1"/>
  <c r="E12" i="9"/>
  <c r="F29" i="8" l="1"/>
  <c r="E29" i="8"/>
  <c r="F36" i="7" l="1"/>
  <c r="E36" i="7"/>
  <c r="F36" i="6" l="1"/>
  <c r="E36" i="6"/>
  <c r="F15" i="5" l="1"/>
  <c r="E15" i="5"/>
  <c r="F16" i="4"/>
  <c r="E16" i="4"/>
  <c r="F11" i="2" l="1"/>
  <c r="E11" i="2"/>
</calcChain>
</file>

<file path=xl/sharedStrings.xml><?xml version="1.0" encoding="utf-8"?>
<sst xmlns="http://schemas.openxmlformats.org/spreadsheetml/2006/main" count="290" uniqueCount="119">
  <si>
    <t>No.</t>
  </si>
  <si>
    <t>Matrícula</t>
  </si>
  <si>
    <t>Nombre del Alumno</t>
  </si>
  <si>
    <t>Gonzalez Parra Wolfrang Alejandro</t>
  </si>
  <si>
    <t>Matute Castillo Andres David</t>
  </si>
  <si>
    <t>Meixner Ponce Christopher Santiago</t>
  </si>
  <si>
    <t>Mendoza Gaspar Carlos</t>
  </si>
  <si>
    <t>Moctexuma Ocegueda Ambar Paulina</t>
  </si>
  <si>
    <t>Rios Alvarado Julia Romina</t>
  </si>
  <si>
    <t>Sanchez Pedraza Amaia Estefania</t>
  </si>
  <si>
    <t>Soto Lobo Danna Sofia</t>
  </si>
  <si>
    <t>Soto Lobo Fernando</t>
  </si>
  <si>
    <t>Velazquez Jasso Daniel</t>
  </si>
  <si>
    <t>Ética, Naturaleza y Sociedades</t>
  </si>
  <si>
    <t>TOTAL</t>
  </si>
  <si>
    <t>Sep</t>
  </si>
  <si>
    <t>Oct</t>
  </si>
  <si>
    <t>Tri-Nov</t>
  </si>
  <si>
    <t>Examenes</t>
  </si>
  <si>
    <t>Dic</t>
  </si>
  <si>
    <t>FINAL</t>
  </si>
  <si>
    <t>Ene</t>
  </si>
  <si>
    <t>Tri-Feb</t>
  </si>
  <si>
    <t>Tri-Mar</t>
  </si>
  <si>
    <t>N3 PRIMARIA 3°A</t>
  </si>
  <si>
    <t>Abr</t>
  </si>
  <si>
    <t>May</t>
  </si>
  <si>
    <t>Tri-Jun</t>
  </si>
  <si>
    <t>Tri-Jul</t>
  </si>
  <si>
    <t>ESTRATEGIA</t>
  </si>
  <si>
    <t>Realiza mini-simulacros de examen con preguntas del tema y retroalimentación inmediata.</t>
  </si>
  <si>
    <t>N4 PRIMARIA 4°A</t>
  </si>
  <si>
    <t>Alvarez España Alberto Zaid</t>
  </si>
  <si>
    <t>Hernandez madrigal Cesar daniel</t>
  </si>
  <si>
    <t>Lima Aguirre Marcos</t>
  </si>
  <si>
    <t>Nicolas Garcias Said Samuel</t>
  </si>
  <si>
    <t>Rodriguez Garibay Valory</t>
  </si>
  <si>
    <t>Wiechselbaum Romano Alessia Danielle</t>
  </si>
  <si>
    <t>Realiza mini-simulacros de examen con preguntas del tema y retroalimentación inmediata, así como, mandar mensaje a los padres de familia para que sus hijos presenten los examenes</t>
  </si>
  <si>
    <t>Almanza Rocha Valeria Paola</t>
  </si>
  <si>
    <t>Camejo de la Torre Josue</t>
  </si>
  <si>
    <t>Chavez Escobedo Carlo</t>
  </si>
  <si>
    <t>Medina Hernandez Angela Karol</t>
  </si>
  <si>
    <t>Morales Alvarez Julia</t>
  </si>
  <si>
    <t>Rodriguez Robles Mateo</t>
  </si>
  <si>
    <t>Sanchez Pedraza Ian Alexander</t>
  </si>
  <si>
    <t>Serrano Ponce Camila Denisse</t>
  </si>
  <si>
    <t>Torres Avalos Oskar</t>
  </si>
  <si>
    <t>Venegas Delgadillo Jorge Alfonso</t>
  </si>
  <si>
    <t>Zarate Medellin Regina Noemi</t>
  </si>
  <si>
    <t>N6 PRIMARIA 6°A</t>
  </si>
  <si>
    <t>N7 SECUNDARIA 1°A</t>
  </si>
  <si>
    <t>Geografía</t>
  </si>
  <si>
    <t>Barbosa Leon Damian Alejandro</t>
  </si>
  <si>
    <t>Barragan Canela Leonela Nicole</t>
  </si>
  <si>
    <t>Barrera Ortega Ximena Paola</t>
  </si>
  <si>
    <t>Bernal Serrano Jessica Liliana</t>
  </si>
  <si>
    <t>Castillo Lopez Carlos Gael</t>
  </si>
  <si>
    <t>Cárdenas Calá Antonella</t>
  </si>
  <si>
    <t>Cruz Gama Mateo Emiliano</t>
  </si>
  <si>
    <t>Cueva Rangel Oswaldo Eleazar</t>
  </si>
  <si>
    <t>Dávalos Sánchez Francisco Tadeo</t>
  </si>
  <si>
    <t>Díaz Elizalde Sofía</t>
  </si>
  <si>
    <t>Espinoza Gonzalez Leonardo Daniel</t>
  </si>
  <si>
    <t>Fuentes Fernandez Maximo Dario</t>
  </si>
  <si>
    <t>Gonzalez Parra Amanda Rhomina</t>
  </si>
  <si>
    <t>Gonzalez Soto Adiel Emiliano</t>
  </si>
  <si>
    <t>González de la Cerda Isaías Daniel</t>
  </si>
  <si>
    <t>Hernández Félix Neizan Jesús</t>
  </si>
  <si>
    <t>Hernández López Santiago Matías</t>
  </si>
  <si>
    <t>Irineo Navarro Sofia Esmeralda</t>
  </si>
  <si>
    <t>Ivañez Duran Tadeo Salvador</t>
  </si>
  <si>
    <t>Jaime Cambero Ian Carlo</t>
  </si>
  <si>
    <t>Jimenez Moreno Fátima Johana Yazmin</t>
  </si>
  <si>
    <t>Lúa Alexander Yelena Itzayana</t>
  </si>
  <si>
    <t>Martínez Rodríguez Dayana</t>
  </si>
  <si>
    <t>Mendoza Gaspar Julian</t>
  </si>
  <si>
    <t>Paramo Castro Mateo</t>
  </si>
  <si>
    <t>Ponce Ramirez Alexandra Dannaé</t>
  </si>
  <si>
    <t>Solares Moreno Ximena Anahi</t>
  </si>
  <si>
    <t>Solorzano Alvarado Santiago Gabriel</t>
  </si>
  <si>
    <t>Soto Ayala Christian Gabriel</t>
  </si>
  <si>
    <t>Soto Lobo Andrea</t>
  </si>
  <si>
    <t>Vera Gomez Santiago Karim</t>
  </si>
  <si>
    <t>PPRIM242550</t>
  </si>
  <si>
    <t>Historia</t>
  </si>
  <si>
    <t>Arias Rojas Byron Osmar</t>
  </si>
  <si>
    <t>Arreola Ibarra Iker Santiago</t>
  </si>
  <si>
    <t>Blanco Mondragon Estela Mariel</t>
  </si>
  <si>
    <t>Camejo de la Torre Rebeca Abigail</t>
  </si>
  <si>
    <t>Cano Monge Jesus Aaron</t>
  </si>
  <si>
    <t>Castro Vergara Maia Sofía</t>
  </si>
  <si>
    <t>Del Valle Rodriguez Dante Karim</t>
  </si>
  <si>
    <t>Franco Cervantes Valeria</t>
  </si>
  <si>
    <t>Garcia Garcia Daxel Alejandro</t>
  </si>
  <si>
    <t>Gomez Torres Ethan Mateo</t>
  </si>
  <si>
    <t>Gonzalez Martinez Daniela Nicole</t>
  </si>
  <si>
    <t>Lopez Navarro Mia Sophia</t>
  </si>
  <si>
    <t>Maldonado Hernandez Joel</t>
  </si>
  <si>
    <t>Mejia Gomez Paulina Isabel</t>
  </si>
  <si>
    <t>Olivares Oceguera Santiago Nahum</t>
  </si>
  <si>
    <t>Patiño Carreño Julio Felipe</t>
  </si>
  <si>
    <t>Ramirez Garcia Johari Valentina</t>
  </si>
  <si>
    <t>Rico Bravo Matias Eduardo</t>
  </si>
  <si>
    <t>Sanchez Robles Santiago Daniel</t>
  </si>
  <si>
    <t>Sandoval Castañeda Nathalia Nohemi</t>
  </si>
  <si>
    <t>Velazquez Jasso Santiago</t>
  </si>
  <si>
    <t>Yañez Delgadillo Cyan</t>
  </si>
  <si>
    <t>Zambrano Chacon Dayron Jesus</t>
  </si>
  <si>
    <t>Zavala Cortés Madeline</t>
  </si>
  <si>
    <t>N8 SECUNDARIA 2°A</t>
  </si>
  <si>
    <t>Abarca Sanchez Gabriel Alejandro</t>
  </si>
  <si>
    <t>Almanza Rocha Alessandra Samantha</t>
  </si>
  <si>
    <t>Chavez Cardenas Jaime Andres</t>
  </si>
  <si>
    <t>Gomez Zamora Eduardo</t>
  </si>
  <si>
    <t>Martinez Elizondo Iker Matias</t>
  </si>
  <si>
    <t>Matute Castillo Danna Alessandra</t>
  </si>
  <si>
    <t>Velazquez Salazar Valentina</t>
  </si>
  <si>
    <t>N9 SECUNDARIA 3°A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</si>
</sst>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/>
    <xf numFmtId="0" fontId="0" fillId="5" borderId="1" xfId="0" applyFill="1" applyBorder="1"/>
    <xf numFmtId="164" fontId="1" fillId="6" borderId="1" xfId="0" applyNumberFormat="1" applyFont="1" applyFill="1" applyBorder="1" applyAlignment="1">
      <alignment horizontal="center"/>
    </xf>
    <xf numFmtId="164" fontId="1" fillId="7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164" fontId="0" fillId="7" borderId="1" xfId="0" applyNumberFormat="1" applyFill="1" applyBorder="1" applyAlignment="1">
      <alignment horizontal="center"/>
    </xf>
    <xf numFmtId="164" fontId="1" fillId="8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98111-45E3-49D7-9B5F-2960134FDB33}">
  <dimension ref="B2:S17"/>
  <sheetViews>
    <sheetView workbookViewId="0">
      <selection activeCell="F22" sqref="F22"/>
    </sheetView>
  </sheetViews>
  <sheetFormatPr defaultRowHeight="15" x14ac:dyDescent="0.25"/>
  <cols>
    <col min="4" max="4" width="34.85546875" bestFit="1" customWidth="1"/>
    <col min="5" max="6" width="9.28515625" bestFit="1" customWidth="1"/>
    <col min="7" max="7" width="7.5703125" bestFit="1" customWidth="1"/>
  </cols>
  <sheetData>
    <row r="2" spans="2:19" x14ac:dyDescent="0.25">
      <c r="B2" s="6" t="s">
        <v>24</v>
      </c>
      <c r="C2" s="6"/>
      <c r="D2" s="6"/>
      <c r="E2" s="6" t="s">
        <v>13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2:19" x14ac:dyDescent="0.25">
      <c r="B3" s="3"/>
      <c r="C3" s="3"/>
      <c r="D3" s="4" t="s">
        <v>18</v>
      </c>
      <c r="E3" s="5" t="s">
        <v>15</v>
      </c>
      <c r="F3" s="5" t="s">
        <v>16</v>
      </c>
      <c r="G3" s="5" t="s">
        <v>17</v>
      </c>
      <c r="H3" s="5" t="s">
        <v>14</v>
      </c>
      <c r="I3" s="5" t="s">
        <v>19</v>
      </c>
      <c r="J3" s="5" t="s">
        <v>21</v>
      </c>
      <c r="K3" s="5" t="s">
        <v>22</v>
      </c>
      <c r="L3" s="5" t="s">
        <v>23</v>
      </c>
      <c r="M3" s="5" t="s">
        <v>14</v>
      </c>
      <c r="N3" s="5" t="s">
        <v>25</v>
      </c>
      <c r="O3" s="5" t="s">
        <v>26</v>
      </c>
      <c r="P3" s="5" t="s">
        <v>27</v>
      </c>
      <c r="Q3" s="5" t="s">
        <v>28</v>
      </c>
      <c r="R3" s="5" t="s">
        <v>14</v>
      </c>
      <c r="S3" s="5" t="s">
        <v>20</v>
      </c>
    </row>
    <row r="4" spans="2:19" x14ac:dyDescent="0.25">
      <c r="B4" s="12" t="s">
        <v>0</v>
      </c>
      <c r="C4" s="12" t="s">
        <v>1</v>
      </c>
      <c r="D4" s="13" t="s">
        <v>2</v>
      </c>
      <c r="E4" s="14"/>
      <c r="F4" s="14"/>
      <c r="G4" s="14"/>
      <c r="H4" s="3"/>
      <c r="I4" s="14"/>
      <c r="J4" s="14"/>
      <c r="K4" s="14"/>
      <c r="L4" s="14"/>
      <c r="M4" s="3"/>
      <c r="N4" s="14"/>
      <c r="O4" s="14"/>
      <c r="P4" s="14"/>
      <c r="Q4" s="14"/>
      <c r="R4" s="14"/>
      <c r="S4" s="14"/>
    </row>
    <row r="5" spans="2:19" x14ac:dyDescent="0.25">
      <c r="B5" s="2">
        <v>1</v>
      </c>
      <c r="C5" s="2">
        <v>979</v>
      </c>
      <c r="D5" s="1" t="s">
        <v>3</v>
      </c>
      <c r="E5" s="9">
        <v>6</v>
      </c>
      <c r="F5" s="9">
        <v>8</v>
      </c>
      <c r="G5" s="7"/>
      <c r="H5" s="11"/>
      <c r="I5" s="9"/>
      <c r="J5" s="7"/>
      <c r="K5" s="7"/>
      <c r="L5" s="7"/>
      <c r="M5" s="11"/>
      <c r="N5" s="9"/>
      <c r="O5" s="7"/>
      <c r="P5" s="7"/>
      <c r="Q5" s="7"/>
      <c r="R5" s="11"/>
      <c r="S5" s="11"/>
    </row>
    <row r="6" spans="2:19" x14ac:dyDescent="0.25">
      <c r="B6" s="2">
        <v>2</v>
      </c>
      <c r="C6" s="2">
        <v>1133</v>
      </c>
      <c r="D6" s="1" t="s">
        <v>4</v>
      </c>
      <c r="E6" s="9">
        <v>9</v>
      </c>
      <c r="F6" s="9">
        <v>7</v>
      </c>
      <c r="G6" s="7"/>
      <c r="H6" s="11"/>
      <c r="I6" s="9"/>
      <c r="J6" s="7"/>
      <c r="K6" s="7"/>
      <c r="L6" s="7"/>
      <c r="M6" s="11"/>
      <c r="N6" s="9"/>
      <c r="O6" s="7"/>
      <c r="P6" s="7"/>
      <c r="Q6" s="7"/>
      <c r="R6" s="11"/>
      <c r="S6" s="11"/>
    </row>
    <row r="7" spans="2:19" x14ac:dyDescent="0.25">
      <c r="B7" s="2">
        <v>3</v>
      </c>
      <c r="C7" s="2">
        <v>1235</v>
      </c>
      <c r="D7" s="1" t="s">
        <v>5</v>
      </c>
      <c r="E7" s="9">
        <v>4</v>
      </c>
      <c r="F7" s="9">
        <v>2</v>
      </c>
      <c r="G7" s="7"/>
      <c r="H7" s="11"/>
      <c r="I7" s="9"/>
      <c r="J7" s="7"/>
      <c r="K7" s="7"/>
      <c r="L7" s="7"/>
      <c r="M7" s="11"/>
      <c r="N7" s="9"/>
      <c r="O7" s="7"/>
      <c r="P7" s="7"/>
      <c r="Q7" s="7"/>
      <c r="R7" s="11"/>
      <c r="S7" s="11"/>
    </row>
    <row r="8" spans="2:19" x14ac:dyDescent="0.25">
      <c r="B8" s="2">
        <v>4</v>
      </c>
      <c r="C8" s="2">
        <v>986</v>
      </c>
      <c r="D8" s="1" t="s">
        <v>6</v>
      </c>
      <c r="E8" s="9">
        <v>9</v>
      </c>
      <c r="F8" s="9">
        <v>3</v>
      </c>
      <c r="G8" s="7"/>
      <c r="H8" s="11"/>
      <c r="I8" s="9"/>
      <c r="J8" s="7"/>
      <c r="K8" s="7"/>
      <c r="L8" s="7"/>
      <c r="M8" s="11"/>
      <c r="N8" s="9"/>
      <c r="O8" s="7"/>
      <c r="P8" s="7"/>
      <c r="Q8" s="7"/>
      <c r="R8" s="11"/>
      <c r="S8" s="11"/>
    </row>
    <row r="9" spans="2:19" x14ac:dyDescent="0.25">
      <c r="B9" s="2">
        <v>5</v>
      </c>
      <c r="C9" s="2">
        <v>1105</v>
      </c>
      <c r="D9" s="1" t="s">
        <v>7</v>
      </c>
      <c r="E9" s="9">
        <v>9</v>
      </c>
      <c r="F9" s="9">
        <v>7</v>
      </c>
      <c r="G9" s="7"/>
      <c r="H9" s="11"/>
      <c r="I9" s="9"/>
      <c r="J9" s="7"/>
      <c r="K9" s="7"/>
      <c r="L9" s="7"/>
      <c r="M9" s="11"/>
      <c r="N9" s="9"/>
      <c r="O9" s="7"/>
      <c r="P9" s="7"/>
      <c r="Q9" s="7"/>
      <c r="R9" s="11"/>
      <c r="S9" s="11"/>
    </row>
    <row r="10" spans="2:19" x14ac:dyDescent="0.25">
      <c r="B10" s="2">
        <v>6</v>
      </c>
      <c r="C10" s="2">
        <v>944</v>
      </c>
      <c r="D10" s="1" t="s">
        <v>8</v>
      </c>
      <c r="E10" s="9">
        <v>10</v>
      </c>
      <c r="F10" s="9">
        <v>9</v>
      </c>
      <c r="G10" s="7"/>
      <c r="H10" s="11"/>
      <c r="I10" s="9"/>
      <c r="J10" s="7"/>
      <c r="K10" s="7"/>
      <c r="L10" s="7"/>
      <c r="M10" s="11"/>
      <c r="N10" s="9"/>
      <c r="O10" s="7"/>
      <c r="P10" s="7"/>
      <c r="Q10" s="7"/>
      <c r="R10" s="11"/>
      <c r="S10" s="11"/>
    </row>
    <row r="11" spans="2:19" x14ac:dyDescent="0.25">
      <c r="B11" s="2">
        <v>7</v>
      </c>
      <c r="C11" s="2">
        <v>1021</v>
      </c>
      <c r="D11" s="1" t="s">
        <v>9</v>
      </c>
      <c r="E11" s="9">
        <v>5</v>
      </c>
      <c r="F11" s="9">
        <v>9</v>
      </c>
      <c r="G11" s="7"/>
      <c r="H11" s="11"/>
      <c r="I11" s="9"/>
      <c r="J11" s="7"/>
      <c r="K11" s="7"/>
      <c r="L11" s="7"/>
      <c r="M11" s="11"/>
      <c r="N11" s="9"/>
      <c r="O11" s="7"/>
      <c r="P11" s="7"/>
      <c r="Q11" s="7"/>
      <c r="R11" s="11"/>
      <c r="S11" s="11"/>
    </row>
    <row r="12" spans="2:19" x14ac:dyDescent="0.25">
      <c r="B12" s="2">
        <v>8</v>
      </c>
      <c r="C12" s="2">
        <v>1219</v>
      </c>
      <c r="D12" s="1" t="s">
        <v>10</v>
      </c>
      <c r="E12" s="9">
        <v>4</v>
      </c>
      <c r="F12" s="9">
        <v>6</v>
      </c>
      <c r="G12" s="7"/>
      <c r="H12" s="11"/>
      <c r="I12" s="9"/>
      <c r="J12" s="7"/>
      <c r="K12" s="7"/>
      <c r="L12" s="7"/>
      <c r="M12" s="11"/>
      <c r="N12" s="9"/>
      <c r="O12" s="7"/>
      <c r="P12" s="7"/>
      <c r="Q12" s="7"/>
      <c r="R12" s="11"/>
      <c r="S12" s="11"/>
    </row>
    <row r="13" spans="2:19" x14ac:dyDescent="0.25">
      <c r="B13" s="2">
        <v>9</v>
      </c>
      <c r="C13" s="2">
        <v>1220</v>
      </c>
      <c r="D13" s="1" t="s">
        <v>11</v>
      </c>
      <c r="E13" s="9">
        <v>9</v>
      </c>
      <c r="F13" s="9">
        <v>9</v>
      </c>
      <c r="G13" s="7"/>
      <c r="H13" s="11"/>
      <c r="I13" s="9"/>
      <c r="J13" s="7"/>
      <c r="K13" s="7"/>
      <c r="L13" s="7"/>
      <c r="M13" s="11"/>
      <c r="N13" s="9"/>
      <c r="O13" s="7"/>
      <c r="P13" s="7"/>
      <c r="Q13" s="7"/>
      <c r="R13" s="11"/>
      <c r="S13" s="11"/>
    </row>
    <row r="14" spans="2:19" x14ac:dyDescent="0.25">
      <c r="B14" s="2">
        <v>10</v>
      </c>
      <c r="C14" s="2">
        <v>1278</v>
      </c>
      <c r="D14" s="1" t="s">
        <v>12</v>
      </c>
      <c r="E14" s="9">
        <v>6</v>
      </c>
      <c r="F14" s="9">
        <v>7</v>
      </c>
      <c r="G14" s="7"/>
      <c r="H14" s="11"/>
      <c r="I14" s="9"/>
      <c r="J14" s="7"/>
      <c r="K14" s="7"/>
      <c r="L14" s="7"/>
      <c r="M14" s="11"/>
      <c r="N14" s="9"/>
      <c r="O14" s="7"/>
      <c r="P14" s="7"/>
      <c r="Q14" s="7"/>
      <c r="R14" s="11"/>
      <c r="S14" s="11"/>
    </row>
    <row r="15" spans="2:19" x14ac:dyDescent="0.25">
      <c r="B15" s="8" t="s">
        <v>14</v>
      </c>
      <c r="C15" s="8"/>
      <c r="D15" s="8"/>
      <c r="E15" s="15">
        <f>AVERAGE(E5:E14)</f>
        <v>7.1</v>
      </c>
      <c r="F15" s="16">
        <f>AVERAGE(F5:F14)</f>
        <v>6.7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</row>
    <row r="17" spans="2:19" x14ac:dyDescent="0.25">
      <c r="B17" s="8" t="s">
        <v>29</v>
      </c>
      <c r="C17" s="8"/>
      <c r="D17" s="8"/>
      <c r="E17" s="17" t="s">
        <v>30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</row>
  </sheetData>
  <mergeCells count="5">
    <mergeCell ref="B2:D2"/>
    <mergeCell ref="E2:S2"/>
    <mergeCell ref="B15:D15"/>
    <mergeCell ref="B17:D17"/>
    <mergeCell ref="E17:S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D31D2-376C-499B-9477-7CB7924185E1}">
  <dimension ref="B2:S13"/>
  <sheetViews>
    <sheetView workbookViewId="0">
      <selection activeCell="E13" sqref="E13:S13"/>
    </sheetView>
  </sheetViews>
  <sheetFormatPr defaultRowHeight="15" x14ac:dyDescent="0.25"/>
  <cols>
    <col min="4" max="4" width="34.85546875" bestFit="1" customWidth="1"/>
    <col min="5" max="6" width="9.28515625" bestFit="1" customWidth="1"/>
    <col min="7" max="7" width="7.5703125" bestFit="1" customWidth="1"/>
  </cols>
  <sheetData>
    <row r="2" spans="2:19" x14ac:dyDescent="0.25">
      <c r="B2" s="6" t="s">
        <v>31</v>
      </c>
      <c r="C2" s="6"/>
      <c r="D2" s="6"/>
      <c r="E2" s="6" t="s">
        <v>13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2:19" x14ac:dyDescent="0.25">
      <c r="B3" s="3"/>
      <c r="C3" s="3"/>
      <c r="D3" s="4" t="s">
        <v>18</v>
      </c>
      <c r="E3" s="5" t="s">
        <v>15</v>
      </c>
      <c r="F3" s="5" t="s">
        <v>16</v>
      </c>
      <c r="G3" s="5" t="s">
        <v>17</v>
      </c>
      <c r="H3" s="5" t="s">
        <v>14</v>
      </c>
      <c r="I3" s="5" t="s">
        <v>19</v>
      </c>
      <c r="J3" s="5" t="s">
        <v>21</v>
      </c>
      <c r="K3" s="5" t="s">
        <v>22</v>
      </c>
      <c r="L3" s="5" t="s">
        <v>23</v>
      </c>
      <c r="M3" s="5" t="s">
        <v>14</v>
      </c>
      <c r="N3" s="5" t="s">
        <v>25</v>
      </c>
      <c r="O3" s="5" t="s">
        <v>26</v>
      </c>
      <c r="P3" s="5" t="s">
        <v>27</v>
      </c>
      <c r="Q3" s="5" t="s">
        <v>28</v>
      </c>
      <c r="R3" s="5" t="s">
        <v>14</v>
      </c>
      <c r="S3" s="5" t="s">
        <v>20</v>
      </c>
    </row>
    <row r="4" spans="2:19" x14ac:dyDescent="0.25">
      <c r="B4" s="12" t="s">
        <v>0</v>
      </c>
      <c r="C4" s="12" t="s">
        <v>1</v>
      </c>
      <c r="D4" s="13" t="s">
        <v>2</v>
      </c>
      <c r="E4" s="14"/>
      <c r="F4" s="14"/>
      <c r="G4" s="14"/>
      <c r="H4" s="3"/>
      <c r="I4" s="14"/>
      <c r="J4" s="14"/>
      <c r="K4" s="14"/>
      <c r="L4" s="14"/>
      <c r="M4" s="3"/>
      <c r="N4" s="14"/>
      <c r="O4" s="14"/>
      <c r="P4" s="14"/>
      <c r="Q4" s="14"/>
      <c r="R4" s="14"/>
      <c r="S4" s="14"/>
    </row>
    <row r="5" spans="2:19" x14ac:dyDescent="0.25">
      <c r="B5" s="2">
        <v>1</v>
      </c>
      <c r="C5" s="2">
        <v>941</v>
      </c>
      <c r="D5" s="1" t="s">
        <v>32</v>
      </c>
      <c r="E5" s="9">
        <v>10</v>
      </c>
      <c r="F5" s="9">
        <v>9</v>
      </c>
      <c r="G5" s="7"/>
      <c r="H5" s="11"/>
      <c r="I5" s="9"/>
      <c r="J5" s="7"/>
      <c r="K5" s="7"/>
      <c r="L5" s="7"/>
      <c r="M5" s="11"/>
      <c r="N5" s="9"/>
      <c r="O5" s="7"/>
      <c r="P5" s="7"/>
      <c r="Q5" s="7"/>
      <c r="R5" s="11"/>
      <c r="S5" s="11"/>
    </row>
    <row r="6" spans="2:19" x14ac:dyDescent="0.25">
      <c r="B6" s="2">
        <v>2</v>
      </c>
      <c r="C6" s="2">
        <v>1096</v>
      </c>
      <c r="D6" s="1" t="s">
        <v>33</v>
      </c>
      <c r="E6" s="9">
        <v>8</v>
      </c>
      <c r="F6" s="9">
        <v>7</v>
      </c>
      <c r="G6" s="7"/>
      <c r="H6" s="11"/>
      <c r="I6" s="9"/>
      <c r="J6" s="7"/>
      <c r="K6" s="7"/>
      <c r="L6" s="7"/>
      <c r="M6" s="11"/>
      <c r="N6" s="9"/>
      <c r="O6" s="7"/>
      <c r="P6" s="7"/>
      <c r="Q6" s="7"/>
      <c r="R6" s="11"/>
      <c r="S6" s="11"/>
    </row>
    <row r="7" spans="2:19" x14ac:dyDescent="0.25">
      <c r="B7" s="2">
        <v>3</v>
      </c>
      <c r="C7" s="2">
        <v>983</v>
      </c>
      <c r="D7" s="1" t="s">
        <v>34</v>
      </c>
      <c r="E7" s="9">
        <v>10</v>
      </c>
      <c r="F7" s="18">
        <v>0</v>
      </c>
      <c r="G7" s="7"/>
      <c r="H7" s="11"/>
      <c r="I7" s="9"/>
      <c r="J7" s="7"/>
      <c r="K7" s="7"/>
      <c r="L7" s="7"/>
      <c r="M7" s="11"/>
      <c r="N7" s="9"/>
      <c r="O7" s="7"/>
      <c r="P7" s="7"/>
      <c r="Q7" s="7"/>
      <c r="R7" s="11"/>
      <c r="S7" s="11"/>
    </row>
    <row r="8" spans="2:19" x14ac:dyDescent="0.25">
      <c r="B8" s="2">
        <v>4</v>
      </c>
      <c r="C8" s="2">
        <v>1275</v>
      </c>
      <c r="D8" s="1" t="s">
        <v>35</v>
      </c>
      <c r="E8" s="9">
        <v>7</v>
      </c>
      <c r="F8" s="18">
        <v>0</v>
      </c>
      <c r="G8" s="7"/>
      <c r="H8" s="11"/>
      <c r="I8" s="9"/>
      <c r="J8" s="7"/>
      <c r="K8" s="7"/>
      <c r="L8" s="7"/>
      <c r="M8" s="11"/>
      <c r="N8" s="9"/>
      <c r="O8" s="7"/>
      <c r="P8" s="7"/>
      <c r="Q8" s="7"/>
      <c r="R8" s="11"/>
      <c r="S8" s="11"/>
    </row>
    <row r="9" spans="2:19" x14ac:dyDescent="0.25">
      <c r="B9" s="2">
        <v>5</v>
      </c>
      <c r="C9" s="2">
        <v>962</v>
      </c>
      <c r="D9" s="1" t="s">
        <v>36</v>
      </c>
      <c r="E9" s="9">
        <v>10</v>
      </c>
      <c r="F9" s="9">
        <v>7</v>
      </c>
      <c r="G9" s="7"/>
      <c r="H9" s="11"/>
      <c r="I9" s="9"/>
      <c r="J9" s="7"/>
      <c r="K9" s="7"/>
      <c r="L9" s="7"/>
      <c r="M9" s="11"/>
      <c r="N9" s="9"/>
      <c r="O9" s="7"/>
      <c r="P9" s="7"/>
      <c r="Q9" s="7"/>
      <c r="R9" s="11"/>
      <c r="S9" s="11"/>
    </row>
    <row r="10" spans="2:19" x14ac:dyDescent="0.25">
      <c r="B10" s="2">
        <v>6</v>
      </c>
      <c r="C10" s="2">
        <v>894</v>
      </c>
      <c r="D10" s="1" t="s">
        <v>37</v>
      </c>
      <c r="E10" s="9">
        <v>10</v>
      </c>
      <c r="F10" s="18">
        <v>0</v>
      </c>
      <c r="G10" s="7"/>
      <c r="H10" s="11"/>
      <c r="I10" s="9"/>
      <c r="J10" s="7"/>
      <c r="K10" s="7"/>
      <c r="L10" s="7"/>
      <c r="M10" s="11"/>
      <c r="N10" s="9"/>
      <c r="O10" s="7"/>
      <c r="P10" s="7"/>
      <c r="Q10" s="7"/>
      <c r="R10" s="11"/>
      <c r="S10" s="11"/>
    </row>
    <row r="11" spans="2:19" x14ac:dyDescent="0.25">
      <c r="B11" s="8" t="s">
        <v>14</v>
      </c>
      <c r="C11" s="8"/>
      <c r="D11" s="8"/>
      <c r="E11" s="19">
        <f>AVERAGE(E5:E10)</f>
        <v>9.1666666666666661</v>
      </c>
      <c r="F11" s="16">
        <f>AVERAGE(F5:F10)</f>
        <v>3.8333333333333335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</row>
    <row r="13" spans="2:19" ht="29.25" customHeight="1" x14ac:dyDescent="0.25">
      <c r="B13" s="21" t="s">
        <v>29</v>
      </c>
      <c r="C13" s="21"/>
      <c r="D13" s="21"/>
      <c r="E13" s="20" t="s">
        <v>38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</row>
  </sheetData>
  <mergeCells count="5">
    <mergeCell ref="B13:D13"/>
    <mergeCell ref="E13:S13"/>
    <mergeCell ref="B2:D2"/>
    <mergeCell ref="B11:D11"/>
    <mergeCell ref="E2:S2"/>
  </mergeCells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72AB9-6C6E-470D-8A29-58762616679C}">
  <dimension ref="B2:S18"/>
  <sheetViews>
    <sheetView workbookViewId="0">
      <selection activeCell="D24" sqref="D24"/>
    </sheetView>
  </sheetViews>
  <sheetFormatPr defaultRowHeight="15" x14ac:dyDescent="0.25"/>
  <cols>
    <col min="4" max="4" width="34.85546875" bestFit="1" customWidth="1"/>
    <col min="5" max="6" width="9.28515625" bestFit="1" customWidth="1"/>
    <col min="7" max="7" width="7.5703125" bestFit="1" customWidth="1"/>
  </cols>
  <sheetData>
    <row r="2" spans="2:19" x14ac:dyDescent="0.25">
      <c r="B2" s="6" t="s">
        <v>50</v>
      </c>
      <c r="C2" s="6"/>
      <c r="D2" s="6"/>
      <c r="E2" s="6" t="s">
        <v>13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2:19" x14ac:dyDescent="0.25">
      <c r="B3" s="3"/>
      <c r="C3" s="3"/>
      <c r="D3" s="4" t="s">
        <v>18</v>
      </c>
      <c r="E3" s="5" t="s">
        <v>15</v>
      </c>
      <c r="F3" s="5" t="s">
        <v>16</v>
      </c>
      <c r="G3" s="5" t="s">
        <v>17</v>
      </c>
      <c r="H3" s="5" t="s">
        <v>14</v>
      </c>
      <c r="I3" s="5" t="s">
        <v>19</v>
      </c>
      <c r="J3" s="5" t="s">
        <v>21</v>
      </c>
      <c r="K3" s="5" t="s">
        <v>22</v>
      </c>
      <c r="L3" s="5" t="s">
        <v>23</v>
      </c>
      <c r="M3" s="5" t="s">
        <v>14</v>
      </c>
      <c r="N3" s="5" t="s">
        <v>25</v>
      </c>
      <c r="O3" s="5" t="s">
        <v>26</v>
      </c>
      <c r="P3" s="5" t="s">
        <v>27</v>
      </c>
      <c r="Q3" s="5" t="s">
        <v>28</v>
      </c>
      <c r="R3" s="5" t="s">
        <v>14</v>
      </c>
      <c r="S3" s="5" t="s">
        <v>20</v>
      </c>
    </row>
    <row r="4" spans="2:19" x14ac:dyDescent="0.25">
      <c r="B4" s="12" t="s">
        <v>0</v>
      </c>
      <c r="C4" s="12" t="s">
        <v>1</v>
      </c>
      <c r="D4" s="13" t="s">
        <v>2</v>
      </c>
      <c r="E4" s="14"/>
      <c r="F4" s="14"/>
      <c r="G4" s="14"/>
      <c r="H4" s="3"/>
      <c r="I4" s="14"/>
      <c r="J4" s="14"/>
      <c r="K4" s="14"/>
      <c r="L4" s="14"/>
      <c r="M4" s="3"/>
      <c r="N4" s="14"/>
      <c r="O4" s="14"/>
      <c r="P4" s="14"/>
      <c r="Q4" s="14"/>
      <c r="R4" s="14"/>
      <c r="S4" s="14"/>
    </row>
    <row r="5" spans="2:19" x14ac:dyDescent="0.25">
      <c r="B5" s="2">
        <v>1</v>
      </c>
      <c r="C5" s="2">
        <v>1044</v>
      </c>
      <c r="D5" s="1" t="s">
        <v>39</v>
      </c>
      <c r="E5" s="9">
        <v>10</v>
      </c>
      <c r="F5" s="9">
        <v>6</v>
      </c>
      <c r="G5" s="7"/>
      <c r="H5" s="11"/>
      <c r="I5" s="9"/>
      <c r="J5" s="7"/>
      <c r="K5" s="7"/>
      <c r="L5" s="7"/>
      <c r="M5" s="11"/>
      <c r="N5" s="9"/>
      <c r="O5" s="7"/>
      <c r="P5" s="7"/>
      <c r="Q5" s="7"/>
      <c r="R5" s="11"/>
      <c r="S5" s="11"/>
    </row>
    <row r="6" spans="2:19" x14ac:dyDescent="0.25">
      <c r="B6" s="2">
        <v>2</v>
      </c>
      <c r="C6" s="2">
        <v>879</v>
      </c>
      <c r="D6" s="1" t="s">
        <v>40</v>
      </c>
      <c r="E6" s="9">
        <v>10</v>
      </c>
      <c r="F6" s="9">
        <v>9</v>
      </c>
      <c r="G6" s="7"/>
      <c r="H6" s="11"/>
      <c r="I6" s="9"/>
      <c r="J6" s="7"/>
      <c r="K6" s="7"/>
      <c r="L6" s="7"/>
      <c r="M6" s="11"/>
      <c r="N6" s="9"/>
      <c r="O6" s="7"/>
      <c r="P6" s="7"/>
      <c r="Q6" s="7"/>
      <c r="R6" s="11"/>
      <c r="S6" s="11"/>
    </row>
    <row r="7" spans="2:19" x14ac:dyDescent="0.25">
      <c r="B7" s="2">
        <v>3</v>
      </c>
      <c r="C7" s="2">
        <v>1052</v>
      </c>
      <c r="D7" s="1" t="s">
        <v>41</v>
      </c>
      <c r="E7" s="9">
        <v>7</v>
      </c>
      <c r="F7" s="9">
        <v>8</v>
      </c>
      <c r="G7" s="7"/>
      <c r="H7" s="11"/>
      <c r="I7" s="9"/>
      <c r="J7" s="7"/>
      <c r="K7" s="7"/>
      <c r="L7" s="7"/>
      <c r="M7" s="11"/>
      <c r="N7" s="9"/>
      <c r="O7" s="7"/>
      <c r="P7" s="7"/>
      <c r="Q7" s="7"/>
      <c r="R7" s="11"/>
      <c r="S7" s="11"/>
    </row>
    <row r="8" spans="2:19" x14ac:dyDescent="0.25">
      <c r="B8" s="2">
        <v>4</v>
      </c>
      <c r="C8" s="2">
        <v>1114</v>
      </c>
      <c r="D8" s="1" t="s">
        <v>42</v>
      </c>
      <c r="E8" s="18">
        <v>0</v>
      </c>
      <c r="F8" s="9">
        <v>7</v>
      </c>
      <c r="G8" s="7"/>
      <c r="H8" s="11"/>
      <c r="I8" s="9"/>
      <c r="J8" s="7"/>
      <c r="K8" s="7"/>
      <c r="L8" s="7"/>
      <c r="M8" s="11"/>
      <c r="N8" s="9"/>
      <c r="O8" s="7"/>
      <c r="P8" s="7"/>
      <c r="Q8" s="7"/>
      <c r="R8" s="11"/>
      <c r="S8" s="11"/>
    </row>
    <row r="9" spans="2:19" x14ac:dyDescent="0.25">
      <c r="B9" s="2">
        <v>5</v>
      </c>
      <c r="C9" s="2">
        <v>900</v>
      </c>
      <c r="D9" s="1" t="s">
        <v>43</v>
      </c>
      <c r="E9" s="9">
        <v>9</v>
      </c>
      <c r="F9" s="9">
        <v>9</v>
      </c>
      <c r="G9" s="7"/>
      <c r="H9" s="11"/>
      <c r="I9" s="9"/>
      <c r="J9" s="7"/>
      <c r="K9" s="7"/>
      <c r="L9" s="7"/>
      <c r="M9" s="11"/>
      <c r="N9" s="9"/>
      <c r="O9" s="7"/>
      <c r="P9" s="7"/>
      <c r="Q9" s="7"/>
      <c r="R9" s="11"/>
      <c r="S9" s="11"/>
    </row>
    <row r="10" spans="2:19" x14ac:dyDescent="0.25">
      <c r="B10" s="2">
        <v>6</v>
      </c>
      <c r="C10" s="2">
        <v>1058</v>
      </c>
      <c r="D10" s="1" t="s">
        <v>44</v>
      </c>
      <c r="E10" s="9">
        <v>8</v>
      </c>
      <c r="F10" s="9">
        <v>9</v>
      </c>
      <c r="G10" s="7"/>
      <c r="H10" s="11"/>
      <c r="I10" s="9"/>
      <c r="J10" s="7"/>
      <c r="K10" s="7"/>
      <c r="L10" s="7"/>
      <c r="M10" s="11"/>
      <c r="N10" s="9"/>
      <c r="O10" s="7"/>
      <c r="P10" s="7"/>
      <c r="Q10" s="7"/>
      <c r="R10" s="11"/>
      <c r="S10" s="11"/>
    </row>
    <row r="11" spans="2:19" x14ac:dyDescent="0.25">
      <c r="B11" s="2">
        <v>7</v>
      </c>
      <c r="C11" s="2">
        <v>1018</v>
      </c>
      <c r="D11" s="1" t="s">
        <v>45</v>
      </c>
      <c r="E11" s="9">
        <v>6</v>
      </c>
      <c r="F11" s="9">
        <v>8</v>
      </c>
      <c r="G11" s="7"/>
      <c r="H11" s="11"/>
      <c r="I11" s="9"/>
      <c r="J11" s="7"/>
      <c r="K11" s="7"/>
      <c r="L11" s="7"/>
      <c r="M11" s="11"/>
      <c r="N11" s="9"/>
      <c r="O11" s="7"/>
      <c r="P11" s="7"/>
      <c r="Q11" s="7"/>
      <c r="R11" s="11"/>
      <c r="S11" s="11"/>
    </row>
    <row r="12" spans="2:19" x14ac:dyDescent="0.25">
      <c r="B12" s="2">
        <v>8</v>
      </c>
      <c r="C12" s="2">
        <v>714</v>
      </c>
      <c r="D12" s="1" t="s">
        <v>46</v>
      </c>
      <c r="E12" s="9">
        <v>10</v>
      </c>
      <c r="F12" s="9">
        <v>9</v>
      </c>
      <c r="G12" s="7"/>
      <c r="H12" s="11"/>
      <c r="I12" s="9"/>
      <c r="J12" s="7"/>
      <c r="K12" s="7"/>
      <c r="L12" s="7"/>
      <c r="M12" s="11"/>
      <c r="N12" s="9"/>
      <c r="O12" s="7"/>
      <c r="P12" s="7"/>
      <c r="Q12" s="7"/>
      <c r="R12" s="11"/>
      <c r="S12" s="11"/>
    </row>
    <row r="13" spans="2:19" x14ac:dyDescent="0.25">
      <c r="B13" s="2">
        <v>9</v>
      </c>
      <c r="C13" s="2">
        <v>1010</v>
      </c>
      <c r="D13" s="1" t="s">
        <v>47</v>
      </c>
      <c r="E13" s="9">
        <v>8</v>
      </c>
      <c r="F13" s="9">
        <v>10</v>
      </c>
      <c r="G13" s="7"/>
      <c r="H13" s="11"/>
      <c r="I13" s="9"/>
      <c r="J13" s="7"/>
      <c r="K13" s="7"/>
      <c r="L13" s="7"/>
      <c r="M13" s="11"/>
      <c r="N13" s="9"/>
      <c r="O13" s="7"/>
      <c r="P13" s="7"/>
      <c r="Q13" s="7"/>
      <c r="R13" s="11"/>
      <c r="S13" s="11"/>
    </row>
    <row r="14" spans="2:19" x14ac:dyDescent="0.25">
      <c r="B14" s="2">
        <v>10</v>
      </c>
      <c r="C14" s="2">
        <v>1211</v>
      </c>
      <c r="D14" s="1" t="s">
        <v>48</v>
      </c>
      <c r="E14" s="18">
        <v>0</v>
      </c>
      <c r="F14" s="18">
        <v>0</v>
      </c>
      <c r="G14" s="7"/>
      <c r="H14" s="11"/>
      <c r="I14" s="9"/>
      <c r="J14" s="7"/>
      <c r="K14" s="7"/>
      <c r="L14" s="7"/>
      <c r="M14" s="11"/>
      <c r="N14" s="9"/>
      <c r="O14" s="7"/>
      <c r="P14" s="7"/>
      <c r="Q14" s="7"/>
      <c r="R14" s="11"/>
      <c r="S14" s="11"/>
    </row>
    <row r="15" spans="2:19" x14ac:dyDescent="0.25">
      <c r="B15" s="2">
        <v>11</v>
      </c>
      <c r="C15" s="2">
        <v>880</v>
      </c>
      <c r="D15" s="1" t="s">
        <v>49</v>
      </c>
      <c r="E15" s="9">
        <v>8</v>
      </c>
      <c r="F15" s="9">
        <v>9</v>
      </c>
      <c r="G15" s="7"/>
      <c r="H15" s="11"/>
      <c r="I15" s="9"/>
      <c r="J15" s="7"/>
      <c r="K15" s="7"/>
      <c r="L15" s="7"/>
      <c r="M15" s="11"/>
      <c r="N15" s="9"/>
      <c r="O15" s="7"/>
      <c r="P15" s="7"/>
      <c r="Q15" s="7"/>
      <c r="R15" s="11"/>
      <c r="S15" s="11"/>
    </row>
    <row r="16" spans="2:19" x14ac:dyDescent="0.25">
      <c r="B16" s="8" t="s">
        <v>14</v>
      </c>
      <c r="C16" s="8"/>
      <c r="D16" s="8"/>
      <c r="E16" s="16">
        <f>AVERAGE(E5:E15)</f>
        <v>6.9090909090909092</v>
      </c>
      <c r="F16" s="15">
        <f>AVERAGE(F5:F15)</f>
        <v>7.6363636363636367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</row>
    <row r="18" spans="2:19" ht="30" customHeight="1" x14ac:dyDescent="0.25">
      <c r="B18" s="21" t="s">
        <v>29</v>
      </c>
      <c r="C18" s="21"/>
      <c r="D18" s="21"/>
      <c r="E18" s="20" t="s">
        <v>38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</sheetData>
  <mergeCells count="5">
    <mergeCell ref="B2:D2"/>
    <mergeCell ref="E2:S2"/>
    <mergeCell ref="B16:D16"/>
    <mergeCell ref="B18:D18"/>
    <mergeCell ref="E18:S1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A7D1-6899-446F-9402-4CD270E8EF7E}">
  <dimension ref="B2:S38"/>
  <sheetViews>
    <sheetView topLeftCell="A19" workbookViewId="0">
      <selection activeCell="I26" sqref="I26"/>
    </sheetView>
  </sheetViews>
  <sheetFormatPr defaultRowHeight="15" x14ac:dyDescent="0.25"/>
  <cols>
    <col min="3" max="3" width="12.5703125" bestFit="1" customWidth="1"/>
    <col min="4" max="4" width="34.85546875" bestFit="1" customWidth="1"/>
    <col min="5" max="6" width="9.28515625" bestFit="1" customWidth="1"/>
    <col min="7" max="7" width="7.5703125" bestFit="1" customWidth="1"/>
  </cols>
  <sheetData>
    <row r="2" spans="2:19" x14ac:dyDescent="0.25">
      <c r="B2" s="6" t="s">
        <v>51</v>
      </c>
      <c r="C2" s="6"/>
      <c r="D2" s="6"/>
      <c r="E2" s="6" t="s">
        <v>52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2:19" x14ac:dyDescent="0.25">
      <c r="B3" s="3"/>
      <c r="C3" s="3"/>
      <c r="D3" s="4" t="s">
        <v>18</v>
      </c>
      <c r="E3" s="5" t="s">
        <v>15</v>
      </c>
      <c r="F3" s="5" t="s">
        <v>16</v>
      </c>
      <c r="G3" s="5" t="s">
        <v>17</v>
      </c>
      <c r="H3" s="5" t="s">
        <v>14</v>
      </c>
      <c r="I3" s="5" t="s">
        <v>19</v>
      </c>
      <c r="J3" s="5" t="s">
        <v>21</v>
      </c>
      <c r="K3" s="5" t="s">
        <v>22</v>
      </c>
      <c r="L3" s="5" t="s">
        <v>23</v>
      </c>
      <c r="M3" s="5" t="s">
        <v>14</v>
      </c>
      <c r="N3" s="5" t="s">
        <v>25</v>
      </c>
      <c r="O3" s="5" t="s">
        <v>26</v>
      </c>
      <c r="P3" s="5" t="s">
        <v>27</v>
      </c>
      <c r="Q3" s="5" t="s">
        <v>28</v>
      </c>
      <c r="R3" s="5" t="s">
        <v>14</v>
      </c>
      <c r="S3" s="5" t="s">
        <v>20</v>
      </c>
    </row>
    <row r="4" spans="2:19" x14ac:dyDescent="0.25">
      <c r="B4" s="12" t="s">
        <v>0</v>
      </c>
      <c r="C4" s="12" t="s">
        <v>1</v>
      </c>
      <c r="D4" s="13" t="s">
        <v>2</v>
      </c>
      <c r="E4" s="14"/>
      <c r="F4" s="14"/>
      <c r="G4" s="14"/>
      <c r="H4" s="3"/>
      <c r="I4" s="14"/>
      <c r="J4" s="14"/>
      <c r="K4" s="14"/>
      <c r="L4" s="14"/>
      <c r="M4" s="3"/>
      <c r="N4" s="14"/>
      <c r="O4" s="14"/>
      <c r="P4" s="14"/>
      <c r="Q4" s="14"/>
      <c r="R4" s="14"/>
      <c r="S4" s="14"/>
    </row>
    <row r="5" spans="2:19" x14ac:dyDescent="0.25">
      <c r="B5" s="2">
        <v>1</v>
      </c>
      <c r="C5" s="2">
        <v>1261</v>
      </c>
      <c r="D5" t="s">
        <v>53</v>
      </c>
      <c r="E5" s="9">
        <v>5</v>
      </c>
      <c r="F5" s="9">
        <v>9.3000000000000007</v>
      </c>
      <c r="G5" s="7"/>
      <c r="H5" s="11"/>
      <c r="I5" s="9"/>
      <c r="J5" s="7"/>
      <c r="K5" s="7"/>
      <c r="L5" s="7"/>
      <c r="M5" s="11"/>
      <c r="N5" s="9"/>
      <c r="O5" s="7"/>
      <c r="P5" s="7"/>
      <c r="Q5" s="7"/>
      <c r="R5" s="11"/>
      <c r="S5" s="11"/>
    </row>
    <row r="6" spans="2:19" x14ac:dyDescent="0.25">
      <c r="B6" s="2">
        <v>2</v>
      </c>
      <c r="C6" s="2">
        <v>1249</v>
      </c>
      <c r="D6" s="1" t="s">
        <v>54</v>
      </c>
      <c r="E6" s="9">
        <v>5</v>
      </c>
      <c r="F6" s="9">
        <v>9.3000000000000007</v>
      </c>
      <c r="G6" s="7"/>
      <c r="H6" s="11"/>
      <c r="I6" s="9"/>
      <c r="J6" s="7"/>
      <c r="K6" s="7"/>
      <c r="L6" s="7"/>
      <c r="M6" s="11"/>
      <c r="N6" s="9"/>
      <c r="O6" s="7"/>
      <c r="P6" s="7"/>
      <c r="Q6" s="7"/>
      <c r="R6" s="11"/>
      <c r="S6" s="11"/>
    </row>
    <row r="7" spans="2:19" x14ac:dyDescent="0.25">
      <c r="B7" s="2">
        <v>3</v>
      </c>
      <c r="C7" s="2">
        <v>1130</v>
      </c>
      <c r="D7" s="1" t="s">
        <v>55</v>
      </c>
      <c r="E7" s="9">
        <v>8</v>
      </c>
      <c r="F7" s="9">
        <v>9.3000000000000007</v>
      </c>
      <c r="G7" s="7"/>
      <c r="H7" s="11"/>
      <c r="I7" s="9"/>
      <c r="J7" s="7"/>
      <c r="K7" s="7"/>
      <c r="L7" s="7"/>
      <c r="M7" s="11"/>
      <c r="N7" s="9"/>
      <c r="O7" s="7"/>
      <c r="P7" s="7"/>
      <c r="Q7" s="7"/>
      <c r="R7" s="11"/>
      <c r="S7" s="11"/>
    </row>
    <row r="8" spans="2:19" x14ac:dyDescent="0.25">
      <c r="B8" s="2">
        <v>4</v>
      </c>
      <c r="C8" s="2">
        <v>605</v>
      </c>
      <c r="D8" s="1" t="s">
        <v>56</v>
      </c>
      <c r="E8" s="9">
        <v>6</v>
      </c>
      <c r="F8" s="9">
        <v>10</v>
      </c>
      <c r="G8" s="7"/>
      <c r="H8" s="11"/>
      <c r="I8" s="9"/>
      <c r="J8" s="7"/>
      <c r="K8" s="7"/>
      <c r="L8" s="7"/>
      <c r="M8" s="11"/>
      <c r="N8" s="9"/>
      <c r="O8" s="7"/>
      <c r="P8" s="7"/>
      <c r="Q8" s="7"/>
      <c r="R8" s="11"/>
      <c r="S8" s="11"/>
    </row>
    <row r="9" spans="2:19" x14ac:dyDescent="0.25">
      <c r="B9" s="2">
        <v>5</v>
      </c>
      <c r="C9" s="2">
        <v>612</v>
      </c>
      <c r="D9" s="1" t="s">
        <v>57</v>
      </c>
      <c r="E9" s="9">
        <v>7</v>
      </c>
      <c r="F9" s="9">
        <v>8.6999999999999993</v>
      </c>
      <c r="G9" s="7"/>
      <c r="H9" s="11"/>
      <c r="I9" s="9"/>
      <c r="J9" s="7"/>
      <c r="K9" s="7"/>
      <c r="L9" s="7"/>
      <c r="M9" s="11"/>
      <c r="N9" s="9"/>
      <c r="O9" s="7"/>
      <c r="P9" s="7"/>
      <c r="Q9" s="7"/>
      <c r="R9" s="11"/>
      <c r="S9" s="11"/>
    </row>
    <row r="10" spans="2:19" x14ac:dyDescent="0.25">
      <c r="B10" s="2">
        <v>6</v>
      </c>
      <c r="C10" s="2">
        <v>1159</v>
      </c>
      <c r="D10" s="1" t="s">
        <v>58</v>
      </c>
      <c r="E10" s="9">
        <v>10</v>
      </c>
      <c r="F10" s="9">
        <v>9.3000000000000007</v>
      </c>
      <c r="G10" s="7"/>
      <c r="H10" s="11"/>
      <c r="I10" s="9"/>
      <c r="J10" s="7"/>
      <c r="K10" s="7"/>
      <c r="L10" s="7"/>
      <c r="M10" s="11"/>
      <c r="N10" s="9"/>
      <c r="O10" s="7"/>
      <c r="P10" s="7"/>
      <c r="Q10" s="7"/>
      <c r="R10" s="11"/>
      <c r="S10" s="11"/>
    </row>
    <row r="11" spans="2:19" x14ac:dyDescent="0.25">
      <c r="B11" s="2">
        <v>7</v>
      </c>
      <c r="C11" s="2">
        <v>1233</v>
      </c>
      <c r="D11" s="1" t="s">
        <v>59</v>
      </c>
      <c r="E11" s="9">
        <v>8</v>
      </c>
      <c r="F11" s="9">
        <v>8.6999999999999993</v>
      </c>
      <c r="G11" s="7"/>
      <c r="H11" s="11"/>
      <c r="I11" s="9"/>
      <c r="J11" s="7"/>
      <c r="K11" s="7"/>
      <c r="L11" s="7"/>
      <c r="M11" s="11"/>
      <c r="N11" s="9"/>
      <c r="O11" s="7"/>
      <c r="P11" s="7"/>
      <c r="Q11" s="7"/>
      <c r="R11" s="11"/>
      <c r="S11" s="11"/>
    </row>
    <row r="12" spans="2:19" x14ac:dyDescent="0.25">
      <c r="B12" s="2">
        <v>8</v>
      </c>
      <c r="C12" s="2">
        <v>1168</v>
      </c>
      <c r="D12" s="1" t="s">
        <v>60</v>
      </c>
      <c r="E12" s="9">
        <v>3</v>
      </c>
      <c r="F12" s="9">
        <v>9.3000000000000007</v>
      </c>
      <c r="G12" s="7"/>
      <c r="H12" s="11"/>
      <c r="I12" s="9"/>
      <c r="J12" s="7"/>
      <c r="K12" s="7"/>
      <c r="L12" s="7"/>
      <c r="M12" s="11"/>
      <c r="N12" s="9"/>
      <c r="O12" s="7"/>
      <c r="P12" s="7"/>
      <c r="Q12" s="7"/>
      <c r="R12" s="11"/>
      <c r="S12" s="11"/>
    </row>
    <row r="13" spans="2:19" x14ac:dyDescent="0.25">
      <c r="B13" s="2">
        <v>9</v>
      </c>
      <c r="C13" s="2">
        <v>1150</v>
      </c>
      <c r="D13" s="1" t="s">
        <v>61</v>
      </c>
      <c r="E13" s="9">
        <v>5</v>
      </c>
      <c r="F13" s="9">
        <v>8</v>
      </c>
      <c r="G13" s="7"/>
      <c r="H13" s="11"/>
      <c r="I13" s="9"/>
      <c r="J13" s="7"/>
      <c r="K13" s="7"/>
      <c r="L13" s="7"/>
      <c r="M13" s="11"/>
      <c r="N13" s="9"/>
      <c r="O13" s="7"/>
      <c r="P13" s="7"/>
      <c r="Q13" s="7"/>
      <c r="R13" s="11"/>
      <c r="S13" s="11"/>
    </row>
    <row r="14" spans="2:19" x14ac:dyDescent="0.25">
      <c r="B14" s="2">
        <v>10</v>
      </c>
      <c r="C14" s="2">
        <v>1184</v>
      </c>
      <c r="D14" s="1" t="s">
        <v>62</v>
      </c>
      <c r="E14" s="9">
        <v>9</v>
      </c>
      <c r="F14" s="9">
        <v>9.3000000000000007</v>
      </c>
      <c r="G14" s="7"/>
      <c r="H14" s="11"/>
      <c r="I14" s="9"/>
      <c r="J14" s="7"/>
      <c r="K14" s="7"/>
      <c r="L14" s="7"/>
      <c r="M14" s="11"/>
      <c r="N14" s="9"/>
      <c r="O14" s="7"/>
      <c r="P14" s="7"/>
      <c r="Q14" s="7"/>
      <c r="R14" s="11"/>
      <c r="S14" s="11"/>
    </row>
    <row r="15" spans="2:19" x14ac:dyDescent="0.25">
      <c r="B15" s="2">
        <v>11</v>
      </c>
      <c r="C15" s="2">
        <v>1270</v>
      </c>
      <c r="D15" s="1" t="s">
        <v>63</v>
      </c>
      <c r="E15" s="9">
        <v>5</v>
      </c>
      <c r="F15" s="9">
        <v>8</v>
      </c>
      <c r="G15" s="7"/>
      <c r="H15" s="11"/>
      <c r="I15" s="9"/>
      <c r="J15" s="7"/>
      <c r="K15" s="7"/>
      <c r="L15" s="7"/>
      <c r="M15" s="11"/>
      <c r="N15" s="9"/>
      <c r="O15" s="7"/>
      <c r="P15" s="7"/>
      <c r="Q15" s="7"/>
      <c r="R15" s="11"/>
      <c r="S15" s="11"/>
    </row>
    <row r="16" spans="2:19" x14ac:dyDescent="0.25">
      <c r="B16" s="2">
        <v>12</v>
      </c>
      <c r="C16" s="2">
        <v>1199</v>
      </c>
      <c r="D16" s="1" t="s">
        <v>64</v>
      </c>
      <c r="E16" s="9">
        <v>8</v>
      </c>
      <c r="F16" s="9">
        <v>9.3000000000000007</v>
      </c>
      <c r="G16" s="7"/>
      <c r="H16" s="11"/>
      <c r="I16" s="9"/>
      <c r="J16" s="7"/>
      <c r="K16" s="7"/>
      <c r="L16" s="7"/>
      <c r="M16" s="11"/>
      <c r="N16" s="9"/>
      <c r="O16" s="7"/>
      <c r="P16" s="7"/>
      <c r="Q16" s="7"/>
      <c r="R16" s="11"/>
      <c r="S16" s="11"/>
    </row>
    <row r="17" spans="2:19" x14ac:dyDescent="0.25">
      <c r="B17" s="2">
        <v>13</v>
      </c>
      <c r="C17" s="2" t="s">
        <v>84</v>
      </c>
      <c r="D17" s="1" t="s">
        <v>65</v>
      </c>
      <c r="E17" s="9">
        <v>7</v>
      </c>
      <c r="F17" s="9">
        <v>9.3000000000000007</v>
      </c>
      <c r="G17" s="7"/>
      <c r="H17" s="11"/>
      <c r="I17" s="9"/>
      <c r="J17" s="7"/>
      <c r="K17" s="7"/>
      <c r="L17" s="7"/>
      <c r="M17" s="11"/>
      <c r="N17" s="9"/>
      <c r="O17" s="7"/>
      <c r="P17" s="7"/>
      <c r="Q17" s="7"/>
      <c r="R17" s="11"/>
      <c r="S17" s="11"/>
    </row>
    <row r="18" spans="2:19" x14ac:dyDescent="0.25">
      <c r="B18" s="2">
        <v>14</v>
      </c>
      <c r="C18" s="2">
        <v>1246</v>
      </c>
      <c r="D18" s="1" t="s">
        <v>66</v>
      </c>
      <c r="E18" s="9">
        <v>6</v>
      </c>
      <c r="F18" s="9">
        <v>8</v>
      </c>
      <c r="G18" s="7"/>
      <c r="H18" s="11"/>
      <c r="I18" s="9"/>
      <c r="J18" s="7"/>
      <c r="K18" s="7"/>
      <c r="L18" s="7"/>
      <c r="M18" s="11"/>
      <c r="N18" s="9"/>
      <c r="O18" s="7"/>
      <c r="P18" s="7"/>
      <c r="Q18" s="7"/>
      <c r="R18" s="11"/>
      <c r="S18" s="11"/>
    </row>
    <row r="19" spans="2:19" x14ac:dyDescent="0.25">
      <c r="B19" s="2">
        <v>15</v>
      </c>
      <c r="C19" s="2">
        <v>1156</v>
      </c>
      <c r="D19" s="1" t="s">
        <v>67</v>
      </c>
      <c r="E19" s="9">
        <v>6</v>
      </c>
      <c r="F19" s="9">
        <v>6</v>
      </c>
      <c r="G19" s="7"/>
      <c r="H19" s="11"/>
      <c r="I19" s="9"/>
      <c r="J19" s="7"/>
      <c r="K19" s="7"/>
      <c r="L19" s="7"/>
      <c r="M19" s="11"/>
      <c r="N19" s="9"/>
      <c r="O19" s="7"/>
      <c r="P19" s="7"/>
      <c r="Q19" s="7"/>
      <c r="R19" s="11"/>
      <c r="S19" s="11"/>
    </row>
    <row r="20" spans="2:19" x14ac:dyDescent="0.25">
      <c r="B20" s="2">
        <v>16</v>
      </c>
      <c r="C20" s="2">
        <v>1187</v>
      </c>
      <c r="D20" s="1" t="s">
        <v>68</v>
      </c>
      <c r="E20" s="9">
        <v>8</v>
      </c>
      <c r="F20" s="18">
        <v>0</v>
      </c>
      <c r="G20" s="7"/>
      <c r="H20" s="11"/>
      <c r="I20" s="9"/>
      <c r="J20" s="7"/>
      <c r="K20" s="7"/>
      <c r="L20" s="7"/>
      <c r="M20" s="11"/>
      <c r="N20" s="9"/>
      <c r="O20" s="7"/>
      <c r="P20" s="7"/>
      <c r="Q20" s="7"/>
      <c r="R20" s="11"/>
      <c r="S20" s="11"/>
    </row>
    <row r="21" spans="2:19" x14ac:dyDescent="0.25">
      <c r="B21" s="2">
        <v>17</v>
      </c>
      <c r="C21" s="2">
        <v>1202</v>
      </c>
      <c r="D21" s="1" t="s">
        <v>69</v>
      </c>
      <c r="E21" s="9">
        <v>9</v>
      </c>
      <c r="F21" s="9">
        <v>9.3000000000000007</v>
      </c>
      <c r="G21" s="7"/>
      <c r="H21" s="11"/>
      <c r="I21" s="9"/>
      <c r="J21" s="7"/>
      <c r="K21" s="7"/>
      <c r="L21" s="7"/>
      <c r="M21" s="11"/>
      <c r="N21" s="9"/>
      <c r="O21" s="7"/>
      <c r="P21" s="7"/>
      <c r="Q21" s="7"/>
      <c r="R21" s="11"/>
      <c r="S21" s="11"/>
    </row>
    <row r="22" spans="2:19" x14ac:dyDescent="0.25">
      <c r="B22" s="2">
        <v>18</v>
      </c>
      <c r="C22" s="2">
        <v>1147</v>
      </c>
      <c r="D22" s="1" t="s">
        <v>70</v>
      </c>
      <c r="E22" s="9">
        <v>9</v>
      </c>
      <c r="F22" s="9">
        <v>7.3</v>
      </c>
      <c r="G22" s="7"/>
      <c r="H22" s="11"/>
      <c r="I22" s="9"/>
      <c r="J22" s="7"/>
      <c r="K22" s="7"/>
      <c r="L22" s="7"/>
      <c r="M22" s="11"/>
      <c r="N22" s="9"/>
      <c r="O22" s="7"/>
      <c r="P22" s="7"/>
      <c r="Q22" s="7"/>
      <c r="R22" s="11"/>
      <c r="S22" s="11"/>
    </row>
    <row r="23" spans="2:19" x14ac:dyDescent="0.25">
      <c r="B23" s="2">
        <v>19</v>
      </c>
      <c r="C23" s="2">
        <v>1193</v>
      </c>
      <c r="D23" s="1" t="s">
        <v>71</v>
      </c>
      <c r="E23" s="9">
        <v>8</v>
      </c>
      <c r="F23" s="9">
        <v>10</v>
      </c>
      <c r="G23" s="7"/>
      <c r="H23" s="11"/>
      <c r="I23" s="9"/>
      <c r="J23" s="7"/>
      <c r="K23" s="7"/>
      <c r="L23" s="7"/>
      <c r="M23" s="11"/>
      <c r="N23" s="9"/>
      <c r="O23" s="7"/>
      <c r="P23" s="7"/>
      <c r="Q23" s="7"/>
      <c r="R23" s="11"/>
      <c r="S23" s="11"/>
    </row>
    <row r="24" spans="2:19" x14ac:dyDescent="0.25">
      <c r="B24" s="2">
        <v>20</v>
      </c>
      <c r="C24" s="2">
        <v>1209</v>
      </c>
      <c r="D24" s="1" t="s">
        <v>72</v>
      </c>
      <c r="E24" s="9">
        <v>7</v>
      </c>
      <c r="F24" s="9">
        <v>8.6999999999999993</v>
      </c>
      <c r="G24" s="7"/>
      <c r="H24" s="11"/>
      <c r="I24" s="9"/>
      <c r="J24" s="7"/>
      <c r="K24" s="7"/>
      <c r="L24" s="7"/>
      <c r="M24" s="11"/>
      <c r="N24" s="9"/>
      <c r="O24" s="7"/>
      <c r="P24" s="7"/>
      <c r="Q24" s="7"/>
      <c r="R24" s="11"/>
      <c r="S24" s="11"/>
    </row>
    <row r="25" spans="2:19" x14ac:dyDescent="0.25">
      <c r="B25" s="2">
        <v>21</v>
      </c>
      <c r="C25" s="2">
        <v>1153</v>
      </c>
      <c r="D25" s="1" t="s">
        <v>73</v>
      </c>
      <c r="E25" s="9">
        <v>10</v>
      </c>
      <c r="F25" s="9">
        <v>9.3000000000000007</v>
      </c>
      <c r="G25" s="7"/>
      <c r="H25" s="11"/>
      <c r="I25" s="9"/>
      <c r="J25" s="7"/>
      <c r="K25" s="7"/>
      <c r="L25" s="7"/>
      <c r="M25" s="11"/>
      <c r="N25" s="9"/>
      <c r="O25" s="7"/>
      <c r="P25" s="7"/>
      <c r="Q25" s="7"/>
      <c r="R25" s="11"/>
      <c r="S25" s="11"/>
    </row>
    <row r="26" spans="2:19" x14ac:dyDescent="0.25">
      <c r="B26" s="2">
        <v>22</v>
      </c>
      <c r="C26" s="2">
        <v>1068</v>
      </c>
      <c r="D26" s="1" t="s">
        <v>74</v>
      </c>
      <c r="E26" s="9">
        <v>6</v>
      </c>
      <c r="F26" s="18">
        <v>0</v>
      </c>
      <c r="G26" s="7"/>
      <c r="H26" s="11"/>
      <c r="I26" s="9"/>
      <c r="J26" s="7"/>
      <c r="K26" s="7"/>
      <c r="L26" s="7"/>
      <c r="M26" s="11"/>
      <c r="N26" s="9"/>
      <c r="O26" s="7"/>
      <c r="P26" s="7"/>
      <c r="Q26" s="7"/>
      <c r="R26" s="11"/>
      <c r="S26" s="11"/>
    </row>
    <row r="27" spans="2:19" x14ac:dyDescent="0.25">
      <c r="B27" s="2">
        <v>23</v>
      </c>
      <c r="C27" s="2">
        <v>1244</v>
      </c>
      <c r="D27" s="1" t="s">
        <v>75</v>
      </c>
      <c r="E27" s="9">
        <v>5</v>
      </c>
      <c r="F27" s="9">
        <v>7.3</v>
      </c>
      <c r="G27" s="7"/>
      <c r="H27" s="11"/>
      <c r="I27" s="9"/>
      <c r="J27" s="7"/>
      <c r="K27" s="7"/>
      <c r="L27" s="7"/>
      <c r="M27" s="11"/>
      <c r="N27" s="9"/>
      <c r="O27" s="7"/>
      <c r="P27" s="7"/>
      <c r="Q27" s="7"/>
      <c r="R27" s="11"/>
      <c r="S27" s="11"/>
    </row>
    <row r="28" spans="2:19" x14ac:dyDescent="0.25">
      <c r="B28" s="2">
        <v>24</v>
      </c>
      <c r="C28" s="2">
        <v>719</v>
      </c>
      <c r="D28" s="1" t="s">
        <v>76</v>
      </c>
      <c r="E28" s="9">
        <v>3</v>
      </c>
      <c r="F28" s="9">
        <v>6.7</v>
      </c>
      <c r="G28" s="7"/>
      <c r="H28" s="11"/>
      <c r="I28" s="9"/>
      <c r="J28" s="7"/>
      <c r="K28" s="7"/>
      <c r="L28" s="7"/>
      <c r="M28" s="11"/>
      <c r="N28" s="9"/>
      <c r="O28" s="7"/>
      <c r="P28" s="7"/>
      <c r="Q28" s="7"/>
      <c r="R28" s="11"/>
      <c r="S28" s="11"/>
    </row>
    <row r="29" spans="2:19" x14ac:dyDescent="0.25">
      <c r="B29" s="2">
        <v>25</v>
      </c>
      <c r="C29" s="2">
        <v>1259</v>
      </c>
      <c r="D29" s="1" t="s">
        <v>77</v>
      </c>
      <c r="E29" s="9">
        <v>5</v>
      </c>
      <c r="F29" s="9">
        <v>8</v>
      </c>
      <c r="G29" s="7"/>
      <c r="H29" s="11"/>
      <c r="I29" s="9"/>
      <c r="J29" s="7"/>
      <c r="K29" s="7"/>
      <c r="L29" s="7"/>
      <c r="M29" s="11"/>
      <c r="N29" s="9"/>
      <c r="O29" s="7"/>
      <c r="P29" s="7"/>
      <c r="Q29" s="7"/>
      <c r="R29" s="11"/>
      <c r="S29" s="11"/>
    </row>
    <row r="30" spans="2:19" x14ac:dyDescent="0.25">
      <c r="B30" s="2">
        <v>26</v>
      </c>
      <c r="C30" s="2">
        <v>1267</v>
      </c>
      <c r="D30" s="1" t="s">
        <v>78</v>
      </c>
      <c r="E30" s="9">
        <v>8</v>
      </c>
      <c r="F30" s="9">
        <v>9.3000000000000007</v>
      </c>
      <c r="G30" s="7"/>
      <c r="H30" s="11"/>
      <c r="I30" s="9"/>
      <c r="J30" s="7"/>
      <c r="K30" s="7"/>
      <c r="L30" s="7"/>
      <c r="M30" s="11"/>
      <c r="N30" s="9"/>
      <c r="O30" s="7"/>
      <c r="P30" s="7"/>
      <c r="Q30" s="7"/>
      <c r="R30" s="11"/>
      <c r="S30" s="11"/>
    </row>
    <row r="31" spans="2:19" x14ac:dyDescent="0.25">
      <c r="B31" s="2">
        <v>27</v>
      </c>
      <c r="C31" s="2">
        <v>1206</v>
      </c>
      <c r="D31" s="1" t="s">
        <v>79</v>
      </c>
      <c r="E31" s="9">
        <v>9</v>
      </c>
      <c r="F31" s="9">
        <v>9.3000000000000007</v>
      </c>
      <c r="G31" s="7"/>
      <c r="H31" s="11"/>
      <c r="I31" s="9"/>
      <c r="J31" s="7"/>
      <c r="K31" s="7"/>
      <c r="L31" s="7"/>
      <c r="M31" s="11"/>
      <c r="N31" s="9"/>
      <c r="O31" s="7"/>
      <c r="P31" s="7"/>
      <c r="Q31" s="7"/>
      <c r="R31" s="11"/>
      <c r="S31" s="11"/>
    </row>
    <row r="32" spans="2:19" x14ac:dyDescent="0.25">
      <c r="B32" s="2">
        <v>28</v>
      </c>
      <c r="C32" s="2">
        <v>1144</v>
      </c>
      <c r="D32" s="1" t="s">
        <v>80</v>
      </c>
      <c r="E32" s="9">
        <v>5</v>
      </c>
      <c r="F32" s="9">
        <v>8</v>
      </c>
      <c r="G32" s="7"/>
      <c r="H32" s="11"/>
      <c r="I32" s="9"/>
      <c r="J32" s="7"/>
      <c r="K32" s="7"/>
      <c r="L32" s="7"/>
      <c r="M32" s="11"/>
      <c r="N32" s="9"/>
      <c r="O32" s="7"/>
      <c r="P32" s="7"/>
      <c r="Q32" s="7"/>
      <c r="R32" s="11"/>
      <c r="S32" s="11"/>
    </row>
    <row r="33" spans="2:19" x14ac:dyDescent="0.25">
      <c r="B33" s="2">
        <v>29</v>
      </c>
      <c r="C33" s="2">
        <v>1137</v>
      </c>
      <c r="D33" s="1" t="s">
        <v>81</v>
      </c>
      <c r="E33" s="18">
        <v>0</v>
      </c>
      <c r="F33" s="18">
        <v>0</v>
      </c>
      <c r="G33" s="7"/>
      <c r="H33" s="11"/>
      <c r="I33" s="9"/>
      <c r="J33" s="7"/>
      <c r="K33" s="7"/>
      <c r="L33" s="7"/>
      <c r="M33" s="11"/>
      <c r="N33" s="9"/>
      <c r="O33" s="7"/>
      <c r="P33" s="7"/>
      <c r="Q33" s="7"/>
      <c r="R33" s="11"/>
      <c r="S33" s="11"/>
    </row>
    <row r="34" spans="2:19" x14ac:dyDescent="0.25">
      <c r="B34" s="2">
        <v>30</v>
      </c>
      <c r="C34" s="2">
        <v>1216</v>
      </c>
      <c r="D34" s="1" t="s">
        <v>82</v>
      </c>
      <c r="E34" s="9">
        <v>10</v>
      </c>
      <c r="F34" s="9">
        <v>10</v>
      </c>
      <c r="G34" s="7"/>
      <c r="H34" s="11"/>
      <c r="I34" s="9"/>
      <c r="J34" s="7"/>
      <c r="K34" s="7"/>
      <c r="L34" s="7"/>
      <c r="M34" s="11"/>
      <c r="N34" s="9"/>
      <c r="O34" s="7"/>
      <c r="P34" s="7"/>
      <c r="Q34" s="7"/>
      <c r="R34" s="11"/>
      <c r="S34" s="11"/>
    </row>
    <row r="35" spans="2:19" x14ac:dyDescent="0.25">
      <c r="B35" s="2">
        <v>31</v>
      </c>
      <c r="C35" s="2">
        <v>1254</v>
      </c>
      <c r="D35" s="1" t="s">
        <v>83</v>
      </c>
      <c r="E35" s="9">
        <v>6</v>
      </c>
      <c r="F35" s="9">
        <v>8.6999999999999993</v>
      </c>
      <c r="G35" s="7"/>
      <c r="H35" s="11"/>
      <c r="I35" s="9"/>
      <c r="J35" s="7"/>
      <c r="K35" s="7"/>
      <c r="L35" s="7"/>
      <c r="M35" s="11"/>
      <c r="N35" s="9"/>
      <c r="O35" s="7"/>
      <c r="P35" s="7"/>
      <c r="Q35" s="7"/>
      <c r="R35" s="11"/>
      <c r="S35" s="11"/>
    </row>
    <row r="36" spans="2:19" x14ac:dyDescent="0.25">
      <c r="B36" s="8" t="s">
        <v>14</v>
      </c>
      <c r="C36" s="8"/>
      <c r="D36" s="8"/>
      <c r="E36" s="16">
        <f>AVERAGE(E5:E35)</f>
        <v>6.645161290322581</v>
      </c>
      <c r="F36" s="15">
        <f>AVERAGE(F5:F35)</f>
        <v>7.861290322580647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</row>
    <row r="38" spans="2:19" ht="30" customHeight="1" x14ac:dyDescent="0.25">
      <c r="B38" s="21" t="s">
        <v>29</v>
      </c>
      <c r="C38" s="21"/>
      <c r="D38" s="21"/>
      <c r="E38" s="20" t="s">
        <v>38</v>
      </c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</row>
  </sheetData>
  <mergeCells count="5">
    <mergeCell ref="B2:D2"/>
    <mergeCell ref="E2:S2"/>
    <mergeCell ref="B36:D36"/>
    <mergeCell ref="B38:D38"/>
    <mergeCell ref="E38:S3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893CB-32D5-4247-A227-D893D144F877}">
  <dimension ref="B2:S38"/>
  <sheetViews>
    <sheetView topLeftCell="A12" zoomScale="85" zoomScaleNormal="85" workbookViewId="0">
      <selection activeCell="F36" sqref="F36"/>
    </sheetView>
  </sheetViews>
  <sheetFormatPr defaultRowHeight="15" x14ac:dyDescent="0.25"/>
  <cols>
    <col min="3" max="3" width="12.5703125" bestFit="1" customWidth="1"/>
    <col min="4" max="4" width="34.85546875" bestFit="1" customWidth="1"/>
    <col min="5" max="6" width="9.28515625" bestFit="1" customWidth="1"/>
    <col min="7" max="7" width="7.5703125" bestFit="1" customWidth="1"/>
  </cols>
  <sheetData>
    <row r="2" spans="2:19" x14ac:dyDescent="0.25">
      <c r="B2" s="6" t="s">
        <v>51</v>
      </c>
      <c r="C2" s="6"/>
      <c r="D2" s="6"/>
      <c r="E2" s="6" t="s">
        <v>85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2:19" x14ac:dyDescent="0.25">
      <c r="B3" s="3"/>
      <c r="C3" s="3"/>
      <c r="D3" s="4" t="s">
        <v>18</v>
      </c>
      <c r="E3" s="5" t="s">
        <v>15</v>
      </c>
      <c r="F3" s="5" t="s">
        <v>16</v>
      </c>
      <c r="G3" s="5" t="s">
        <v>17</v>
      </c>
      <c r="H3" s="5" t="s">
        <v>14</v>
      </c>
      <c r="I3" s="5" t="s">
        <v>19</v>
      </c>
      <c r="J3" s="5" t="s">
        <v>21</v>
      </c>
      <c r="K3" s="5" t="s">
        <v>22</v>
      </c>
      <c r="L3" s="5" t="s">
        <v>23</v>
      </c>
      <c r="M3" s="5" t="s">
        <v>14</v>
      </c>
      <c r="N3" s="5" t="s">
        <v>25</v>
      </c>
      <c r="O3" s="5" t="s">
        <v>26</v>
      </c>
      <c r="P3" s="5" t="s">
        <v>27</v>
      </c>
      <c r="Q3" s="5" t="s">
        <v>28</v>
      </c>
      <c r="R3" s="5" t="s">
        <v>14</v>
      </c>
      <c r="S3" s="5" t="s">
        <v>20</v>
      </c>
    </row>
    <row r="4" spans="2:19" x14ac:dyDescent="0.25">
      <c r="B4" s="12" t="s">
        <v>0</v>
      </c>
      <c r="C4" s="12" t="s">
        <v>1</v>
      </c>
      <c r="D4" s="13" t="s">
        <v>2</v>
      </c>
      <c r="E4" s="14"/>
      <c r="F4" s="14"/>
      <c r="G4" s="14"/>
      <c r="H4" s="3"/>
      <c r="I4" s="14"/>
      <c r="J4" s="14"/>
      <c r="K4" s="14"/>
      <c r="L4" s="14"/>
      <c r="M4" s="3"/>
      <c r="N4" s="14"/>
      <c r="O4" s="14"/>
      <c r="P4" s="14"/>
      <c r="Q4" s="14"/>
      <c r="R4" s="14"/>
      <c r="S4" s="14"/>
    </row>
    <row r="5" spans="2:19" x14ac:dyDescent="0.25">
      <c r="B5" s="2">
        <v>1</v>
      </c>
      <c r="C5" s="2">
        <v>1261</v>
      </c>
      <c r="D5" t="s">
        <v>53</v>
      </c>
      <c r="E5" s="9">
        <v>3</v>
      </c>
      <c r="F5" s="9">
        <v>7.3</v>
      </c>
      <c r="G5" s="7"/>
      <c r="H5" s="11"/>
      <c r="I5" s="9"/>
      <c r="J5" s="7"/>
      <c r="K5" s="7"/>
      <c r="L5" s="7"/>
      <c r="M5" s="11"/>
      <c r="N5" s="9"/>
      <c r="O5" s="7"/>
      <c r="P5" s="7"/>
      <c r="Q5" s="7"/>
      <c r="R5" s="11"/>
      <c r="S5" s="11"/>
    </row>
    <row r="6" spans="2:19" x14ac:dyDescent="0.25">
      <c r="B6" s="2">
        <v>2</v>
      </c>
      <c r="C6" s="2">
        <v>1249</v>
      </c>
      <c r="D6" s="1" t="s">
        <v>54</v>
      </c>
      <c r="E6" s="9">
        <v>7</v>
      </c>
      <c r="F6" s="9">
        <v>8</v>
      </c>
      <c r="G6" s="7"/>
      <c r="H6" s="11"/>
      <c r="I6" s="9"/>
      <c r="J6" s="7"/>
      <c r="K6" s="7"/>
      <c r="L6" s="7"/>
      <c r="M6" s="11"/>
      <c r="N6" s="9"/>
      <c r="O6" s="7"/>
      <c r="P6" s="7"/>
      <c r="Q6" s="7"/>
      <c r="R6" s="11"/>
      <c r="S6" s="11"/>
    </row>
    <row r="7" spans="2:19" x14ac:dyDescent="0.25">
      <c r="B7" s="2">
        <v>3</v>
      </c>
      <c r="C7" s="2">
        <v>1130</v>
      </c>
      <c r="D7" s="1" t="s">
        <v>55</v>
      </c>
      <c r="E7" s="9">
        <v>6</v>
      </c>
      <c r="F7" s="9">
        <v>9.3000000000000007</v>
      </c>
      <c r="G7" s="7"/>
      <c r="H7" s="11"/>
      <c r="I7" s="9"/>
      <c r="J7" s="7"/>
      <c r="K7" s="7"/>
      <c r="L7" s="7"/>
      <c r="M7" s="11"/>
      <c r="N7" s="9"/>
      <c r="O7" s="7"/>
      <c r="P7" s="7"/>
      <c r="Q7" s="7"/>
      <c r="R7" s="11"/>
      <c r="S7" s="11"/>
    </row>
    <row r="8" spans="2:19" x14ac:dyDescent="0.25">
      <c r="B8" s="2">
        <v>4</v>
      </c>
      <c r="C8" s="2">
        <v>605</v>
      </c>
      <c r="D8" s="1" t="s">
        <v>56</v>
      </c>
      <c r="E8" s="9">
        <v>6</v>
      </c>
      <c r="F8" s="9">
        <v>6.7</v>
      </c>
      <c r="G8" s="7"/>
      <c r="H8" s="11"/>
      <c r="I8" s="9"/>
      <c r="J8" s="7"/>
      <c r="K8" s="7"/>
      <c r="L8" s="7"/>
      <c r="M8" s="11"/>
      <c r="N8" s="9"/>
      <c r="O8" s="7"/>
      <c r="P8" s="7"/>
      <c r="Q8" s="7"/>
      <c r="R8" s="11"/>
      <c r="S8" s="11"/>
    </row>
    <row r="9" spans="2:19" x14ac:dyDescent="0.25">
      <c r="B9" s="2">
        <v>5</v>
      </c>
      <c r="C9" s="2">
        <v>612</v>
      </c>
      <c r="D9" s="1" t="s">
        <v>57</v>
      </c>
      <c r="E9" s="9">
        <v>6</v>
      </c>
      <c r="F9" s="9">
        <v>8.6999999999999993</v>
      </c>
      <c r="G9" s="7"/>
      <c r="H9" s="11"/>
      <c r="I9" s="9"/>
      <c r="J9" s="7"/>
      <c r="K9" s="7"/>
      <c r="L9" s="7"/>
      <c r="M9" s="11"/>
      <c r="N9" s="9"/>
      <c r="O9" s="7"/>
      <c r="P9" s="7"/>
      <c r="Q9" s="7"/>
      <c r="R9" s="11"/>
      <c r="S9" s="11"/>
    </row>
    <row r="10" spans="2:19" x14ac:dyDescent="0.25">
      <c r="B10" s="2">
        <v>6</v>
      </c>
      <c r="C10" s="2">
        <v>1159</v>
      </c>
      <c r="D10" s="1" t="s">
        <v>58</v>
      </c>
      <c r="E10" s="9">
        <v>7</v>
      </c>
      <c r="F10" s="9">
        <v>7.3</v>
      </c>
      <c r="G10" s="7"/>
      <c r="H10" s="11"/>
      <c r="I10" s="9"/>
      <c r="J10" s="7"/>
      <c r="K10" s="7"/>
      <c r="L10" s="7"/>
      <c r="M10" s="11"/>
      <c r="N10" s="9"/>
      <c r="O10" s="7"/>
      <c r="P10" s="7"/>
      <c r="Q10" s="7"/>
      <c r="R10" s="11"/>
      <c r="S10" s="11"/>
    </row>
    <row r="11" spans="2:19" x14ac:dyDescent="0.25">
      <c r="B11" s="2">
        <v>7</v>
      </c>
      <c r="C11" s="2">
        <v>1233</v>
      </c>
      <c r="D11" s="1" t="s">
        <v>59</v>
      </c>
      <c r="E11" s="9">
        <v>4</v>
      </c>
      <c r="F11" s="9">
        <v>6.7</v>
      </c>
      <c r="G11" s="7"/>
      <c r="H11" s="11"/>
      <c r="I11" s="9"/>
      <c r="J11" s="7"/>
      <c r="K11" s="7"/>
      <c r="L11" s="7"/>
      <c r="M11" s="11"/>
      <c r="N11" s="9"/>
      <c r="O11" s="7"/>
      <c r="P11" s="7"/>
      <c r="Q11" s="7"/>
      <c r="R11" s="11"/>
      <c r="S11" s="11"/>
    </row>
    <row r="12" spans="2:19" x14ac:dyDescent="0.25">
      <c r="B12" s="2">
        <v>8</v>
      </c>
      <c r="C12" s="2">
        <v>1168</v>
      </c>
      <c r="D12" s="1" t="s">
        <v>60</v>
      </c>
      <c r="E12" s="9">
        <v>4</v>
      </c>
      <c r="F12" s="9">
        <v>6.7</v>
      </c>
      <c r="G12" s="7"/>
      <c r="H12" s="11"/>
      <c r="I12" s="9"/>
      <c r="J12" s="7"/>
      <c r="K12" s="7"/>
      <c r="L12" s="7"/>
      <c r="M12" s="11"/>
      <c r="N12" s="9"/>
      <c r="O12" s="7"/>
      <c r="P12" s="7"/>
      <c r="Q12" s="7"/>
      <c r="R12" s="11"/>
      <c r="S12" s="11"/>
    </row>
    <row r="13" spans="2:19" x14ac:dyDescent="0.25">
      <c r="B13" s="2">
        <v>9</v>
      </c>
      <c r="C13" s="2">
        <v>1150</v>
      </c>
      <c r="D13" s="1" t="s">
        <v>61</v>
      </c>
      <c r="E13" s="9">
        <v>5</v>
      </c>
      <c r="F13" s="9">
        <v>5.3</v>
      </c>
      <c r="G13" s="7"/>
      <c r="H13" s="11"/>
      <c r="I13" s="9"/>
      <c r="J13" s="7"/>
      <c r="K13" s="7"/>
      <c r="L13" s="7"/>
      <c r="M13" s="11"/>
      <c r="N13" s="9"/>
      <c r="O13" s="7"/>
      <c r="P13" s="7"/>
      <c r="Q13" s="7"/>
      <c r="R13" s="11"/>
      <c r="S13" s="11"/>
    </row>
    <row r="14" spans="2:19" x14ac:dyDescent="0.25">
      <c r="B14" s="2">
        <v>10</v>
      </c>
      <c r="C14" s="2">
        <v>1184</v>
      </c>
      <c r="D14" s="1" t="s">
        <v>62</v>
      </c>
      <c r="E14" s="9">
        <v>7</v>
      </c>
      <c r="F14" s="9">
        <v>8</v>
      </c>
      <c r="G14" s="7"/>
      <c r="H14" s="11"/>
      <c r="I14" s="9"/>
      <c r="J14" s="7"/>
      <c r="K14" s="7"/>
      <c r="L14" s="7"/>
      <c r="M14" s="11"/>
      <c r="N14" s="9"/>
      <c r="O14" s="7"/>
      <c r="P14" s="7"/>
      <c r="Q14" s="7"/>
      <c r="R14" s="11"/>
      <c r="S14" s="11"/>
    </row>
    <row r="15" spans="2:19" x14ac:dyDescent="0.25">
      <c r="B15" s="2">
        <v>11</v>
      </c>
      <c r="C15" s="2">
        <v>1270</v>
      </c>
      <c r="D15" s="1" t="s">
        <v>63</v>
      </c>
      <c r="E15" s="9">
        <v>5</v>
      </c>
      <c r="F15" s="9">
        <v>7.6</v>
      </c>
      <c r="G15" s="7"/>
      <c r="H15" s="11"/>
      <c r="I15" s="9"/>
      <c r="J15" s="7"/>
      <c r="K15" s="7"/>
      <c r="L15" s="7"/>
      <c r="M15" s="11"/>
      <c r="N15" s="9"/>
      <c r="O15" s="7"/>
      <c r="P15" s="7"/>
      <c r="Q15" s="7"/>
      <c r="R15" s="11"/>
      <c r="S15" s="11"/>
    </row>
    <row r="16" spans="2:19" x14ac:dyDescent="0.25">
      <c r="B16" s="2">
        <v>12</v>
      </c>
      <c r="C16" s="2">
        <v>1199</v>
      </c>
      <c r="D16" s="1" t="s">
        <v>64</v>
      </c>
      <c r="E16" s="9">
        <v>5</v>
      </c>
      <c r="F16" s="9">
        <v>6.7</v>
      </c>
      <c r="G16" s="7"/>
      <c r="H16" s="11"/>
      <c r="I16" s="9"/>
      <c r="J16" s="7"/>
      <c r="K16" s="7"/>
      <c r="L16" s="7"/>
      <c r="M16" s="11"/>
      <c r="N16" s="9"/>
      <c r="O16" s="7"/>
      <c r="P16" s="7"/>
      <c r="Q16" s="7"/>
      <c r="R16" s="11"/>
      <c r="S16" s="11"/>
    </row>
    <row r="17" spans="2:19" x14ac:dyDescent="0.25">
      <c r="B17" s="2">
        <v>13</v>
      </c>
      <c r="C17" s="2" t="s">
        <v>84</v>
      </c>
      <c r="D17" s="1" t="s">
        <v>65</v>
      </c>
      <c r="E17" s="9">
        <v>7</v>
      </c>
      <c r="F17" s="9">
        <v>8.6999999999999993</v>
      </c>
      <c r="G17" s="7"/>
      <c r="H17" s="11"/>
      <c r="I17" s="9"/>
      <c r="J17" s="7"/>
      <c r="K17" s="7"/>
      <c r="L17" s="7"/>
      <c r="M17" s="11"/>
      <c r="N17" s="9"/>
      <c r="O17" s="7"/>
      <c r="P17" s="7"/>
      <c r="Q17" s="7"/>
      <c r="R17" s="11"/>
      <c r="S17" s="11"/>
    </row>
    <row r="18" spans="2:19" x14ac:dyDescent="0.25">
      <c r="B18" s="2">
        <v>14</v>
      </c>
      <c r="C18" s="2">
        <v>1246</v>
      </c>
      <c r="D18" s="1" t="s">
        <v>66</v>
      </c>
      <c r="E18" s="9">
        <v>5</v>
      </c>
      <c r="F18" s="9">
        <v>4.7</v>
      </c>
      <c r="G18" s="7"/>
      <c r="H18" s="11"/>
      <c r="I18" s="9"/>
      <c r="J18" s="7"/>
      <c r="K18" s="7"/>
      <c r="L18" s="7"/>
      <c r="M18" s="11"/>
      <c r="N18" s="9"/>
      <c r="O18" s="7"/>
      <c r="P18" s="7"/>
      <c r="Q18" s="7"/>
      <c r="R18" s="11"/>
      <c r="S18" s="11"/>
    </row>
    <row r="19" spans="2:19" x14ac:dyDescent="0.25">
      <c r="B19" s="2">
        <v>15</v>
      </c>
      <c r="C19" s="2">
        <v>1156</v>
      </c>
      <c r="D19" s="1" t="s">
        <v>67</v>
      </c>
      <c r="E19" s="9">
        <v>3</v>
      </c>
      <c r="F19" s="9">
        <v>6.7</v>
      </c>
      <c r="G19" s="7"/>
      <c r="H19" s="11"/>
      <c r="I19" s="9"/>
      <c r="J19" s="7"/>
      <c r="K19" s="7"/>
      <c r="L19" s="7"/>
      <c r="M19" s="11"/>
      <c r="N19" s="9"/>
      <c r="O19" s="7"/>
      <c r="P19" s="7"/>
      <c r="Q19" s="7"/>
      <c r="R19" s="11"/>
      <c r="S19" s="11"/>
    </row>
    <row r="20" spans="2:19" x14ac:dyDescent="0.25">
      <c r="B20" s="2">
        <v>16</v>
      </c>
      <c r="C20" s="2">
        <v>1187</v>
      </c>
      <c r="D20" s="1" t="s">
        <v>68</v>
      </c>
      <c r="E20" s="9">
        <v>6</v>
      </c>
      <c r="F20" s="9">
        <v>4.7</v>
      </c>
      <c r="G20" s="7"/>
      <c r="H20" s="11"/>
      <c r="I20" s="9"/>
      <c r="J20" s="7"/>
      <c r="K20" s="7"/>
      <c r="L20" s="7"/>
      <c r="M20" s="11"/>
      <c r="N20" s="9"/>
      <c r="O20" s="7"/>
      <c r="P20" s="7"/>
      <c r="Q20" s="7"/>
      <c r="R20" s="11"/>
      <c r="S20" s="11"/>
    </row>
    <row r="21" spans="2:19" x14ac:dyDescent="0.25">
      <c r="B21" s="2">
        <v>17</v>
      </c>
      <c r="C21" s="2">
        <v>1202</v>
      </c>
      <c r="D21" s="1" t="s">
        <v>69</v>
      </c>
      <c r="E21" s="9">
        <v>5</v>
      </c>
      <c r="F21" s="9">
        <v>9.3000000000000007</v>
      </c>
      <c r="G21" s="7"/>
      <c r="H21" s="11"/>
      <c r="I21" s="9"/>
      <c r="J21" s="7"/>
      <c r="K21" s="7"/>
      <c r="L21" s="7"/>
      <c r="M21" s="11"/>
      <c r="N21" s="9"/>
      <c r="O21" s="7"/>
      <c r="P21" s="7"/>
      <c r="Q21" s="7"/>
      <c r="R21" s="11"/>
      <c r="S21" s="11"/>
    </row>
    <row r="22" spans="2:19" x14ac:dyDescent="0.25">
      <c r="B22" s="2">
        <v>18</v>
      </c>
      <c r="C22" s="2">
        <v>1147</v>
      </c>
      <c r="D22" s="1" t="s">
        <v>70</v>
      </c>
      <c r="E22" s="9">
        <v>6</v>
      </c>
      <c r="F22" s="9">
        <v>4</v>
      </c>
      <c r="G22" s="7"/>
      <c r="H22" s="11"/>
      <c r="I22" s="9"/>
      <c r="J22" s="7"/>
      <c r="K22" s="7"/>
      <c r="L22" s="7"/>
      <c r="M22" s="11"/>
      <c r="N22" s="9"/>
      <c r="O22" s="7"/>
      <c r="P22" s="7"/>
      <c r="Q22" s="7"/>
      <c r="R22" s="11"/>
      <c r="S22" s="11"/>
    </row>
    <row r="23" spans="2:19" x14ac:dyDescent="0.25">
      <c r="B23" s="2">
        <v>19</v>
      </c>
      <c r="C23" s="2">
        <v>1193</v>
      </c>
      <c r="D23" s="1" t="s">
        <v>71</v>
      </c>
      <c r="E23" s="9">
        <v>2</v>
      </c>
      <c r="F23" s="9">
        <v>8.6999999999999993</v>
      </c>
      <c r="G23" s="7"/>
      <c r="H23" s="11"/>
      <c r="I23" s="9"/>
      <c r="J23" s="7"/>
      <c r="K23" s="7"/>
      <c r="L23" s="7"/>
      <c r="M23" s="11"/>
      <c r="N23" s="9"/>
      <c r="O23" s="7"/>
      <c r="P23" s="7"/>
      <c r="Q23" s="7"/>
      <c r="R23" s="11"/>
      <c r="S23" s="11"/>
    </row>
    <row r="24" spans="2:19" x14ac:dyDescent="0.25">
      <c r="B24" s="2">
        <v>20</v>
      </c>
      <c r="C24" s="2">
        <v>1209</v>
      </c>
      <c r="D24" s="1" t="s">
        <v>72</v>
      </c>
      <c r="E24" s="9">
        <v>6</v>
      </c>
      <c r="F24" s="9">
        <v>8</v>
      </c>
      <c r="G24" s="7"/>
      <c r="H24" s="11"/>
      <c r="I24" s="9"/>
      <c r="J24" s="7"/>
      <c r="K24" s="7"/>
      <c r="L24" s="7"/>
      <c r="M24" s="11"/>
      <c r="N24" s="9"/>
      <c r="O24" s="7"/>
      <c r="P24" s="7"/>
      <c r="Q24" s="7"/>
      <c r="R24" s="11"/>
      <c r="S24" s="11"/>
    </row>
    <row r="25" spans="2:19" x14ac:dyDescent="0.25">
      <c r="B25" s="2">
        <v>21</v>
      </c>
      <c r="C25" s="2">
        <v>1153</v>
      </c>
      <c r="D25" s="1" t="s">
        <v>73</v>
      </c>
      <c r="E25" s="9">
        <v>5</v>
      </c>
      <c r="F25" s="9">
        <v>10</v>
      </c>
      <c r="G25" s="7"/>
      <c r="H25" s="11"/>
      <c r="I25" s="9"/>
      <c r="J25" s="7"/>
      <c r="K25" s="7"/>
      <c r="L25" s="7"/>
      <c r="M25" s="11"/>
      <c r="N25" s="9"/>
      <c r="O25" s="7"/>
      <c r="P25" s="7"/>
      <c r="Q25" s="7"/>
      <c r="R25" s="11"/>
      <c r="S25" s="11"/>
    </row>
    <row r="26" spans="2:19" x14ac:dyDescent="0.25">
      <c r="B26" s="2">
        <v>22</v>
      </c>
      <c r="C26" s="2">
        <v>1068</v>
      </c>
      <c r="D26" s="1" t="s">
        <v>74</v>
      </c>
      <c r="E26" s="9">
        <v>5</v>
      </c>
      <c r="F26" s="18">
        <v>0</v>
      </c>
      <c r="G26" s="7"/>
      <c r="H26" s="11"/>
      <c r="I26" s="9"/>
      <c r="J26" s="7"/>
      <c r="K26" s="7"/>
      <c r="L26" s="7"/>
      <c r="M26" s="11"/>
      <c r="N26" s="9"/>
      <c r="O26" s="7"/>
      <c r="P26" s="7"/>
      <c r="Q26" s="7"/>
      <c r="R26" s="11"/>
      <c r="S26" s="11"/>
    </row>
    <row r="27" spans="2:19" x14ac:dyDescent="0.25">
      <c r="B27" s="2">
        <v>23</v>
      </c>
      <c r="C27" s="2">
        <v>1244</v>
      </c>
      <c r="D27" s="1" t="s">
        <v>75</v>
      </c>
      <c r="E27" s="9">
        <v>4</v>
      </c>
      <c r="F27" s="9">
        <v>6.7</v>
      </c>
      <c r="G27" s="7"/>
      <c r="H27" s="11"/>
      <c r="I27" s="9"/>
      <c r="J27" s="7"/>
      <c r="K27" s="7"/>
      <c r="L27" s="7"/>
      <c r="M27" s="11"/>
      <c r="N27" s="9"/>
      <c r="O27" s="7"/>
      <c r="P27" s="7"/>
      <c r="Q27" s="7"/>
      <c r="R27" s="11"/>
      <c r="S27" s="11"/>
    </row>
    <row r="28" spans="2:19" x14ac:dyDescent="0.25">
      <c r="B28" s="2">
        <v>24</v>
      </c>
      <c r="C28" s="2">
        <v>719</v>
      </c>
      <c r="D28" s="1" t="s">
        <v>76</v>
      </c>
      <c r="E28" s="9">
        <v>2</v>
      </c>
      <c r="F28" s="9">
        <v>2</v>
      </c>
      <c r="G28" s="7"/>
      <c r="H28" s="11"/>
      <c r="I28" s="9"/>
      <c r="J28" s="7"/>
      <c r="K28" s="7"/>
      <c r="L28" s="7"/>
      <c r="M28" s="11"/>
      <c r="N28" s="9"/>
      <c r="O28" s="7"/>
      <c r="P28" s="7"/>
      <c r="Q28" s="7"/>
      <c r="R28" s="11"/>
      <c r="S28" s="11"/>
    </row>
    <row r="29" spans="2:19" x14ac:dyDescent="0.25">
      <c r="B29" s="2">
        <v>25</v>
      </c>
      <c r="C29" s="2">
        <v>1259</v>
      </c>
      <c r="D29" s="1" t="s">
        <v>77</v>
      </c>
      <c r="E29" s="9">
        <v>2</v>
      </c>
      <c r="F29" s="9">
        <v>3.3</v>
      </c>
      <c r="G29" s="7"/>
      <c r="H29" s="11"/>
      <c r="I29" s="9"/>
      <c r="J29" s="7"/>
      <c r="K29" s="7"/>
      <c r="L29" s="7"/>
      <c r="M29" s="11"/>
      <c r="N29" s="9"/>
      <c r="O29" s="7"/>
      <c r="P29" s="7"/>
      <c r="Q29" s="7"/>
      <c r="R29" s="11"/>
      <c r="S29" s="11"/>
    </row>
    <row r="30" spans="2:19" x14ac:dyDescent="0.25">
      <c r="B30" s="2">
        <v>26</v>
      </c>
      <c r="C30" s="2">
        <v>1267</v>
      </c>
      <c r="D30" s="1" t="s">
        <v>78</v>
      </c>
      <c r="E30" s="9">
        <v>6</v>
      </c>
      <c r="F30" s="9">
        <v>8.6999999999999993</v>
      </c>
      <c r="G30" s="7"/>
      <c r="H30" s="11"/>
      <c r="I30" s="9"/>
      <c r="J30" s="7"/>
      <c r="K30" s="7"/>
      <c r="L30" s="7"/>
      <c r="M30" s="11"/>
      <c r="N30" s="9"/>
      <c r="O30" s="7"/>
      <c r="P30" s="7"/>
      <c r="Q30" s="7"/>
      <c r="R30" s="11"/>
      <c r="S30" s="11"/>
    </row>
    <row r="31" spans="2:19" x14ac:dyDescent="0.25">
      <c r="B31" s="2">
        <v>27</v>
      </c>
      <c r="C31" s="2">
        <v>1206</v>
      </c>
      <c r="D31" s="1" t="s">
        <v>79</v>
      </c>
      <c r="E31" s="9">
        <v>6</v>
      </c>
      <c r="F31" s="9">
        <v>10</v>
      </c>
      <c r="G31" s="7"/>
      <c r="H31" s="11"/>
      <c r="I31" s="9"/>
      <c r="J31" s="7"/>
      <c r="K31" s="7"/>
      <c r="L31" s="7"/>
      <c r="M31" s="11"/>
      <c r="N31" s="9"/>
      <c r="O31" s="7"/>
      <c r="P31" s="7"/>
      <c r="Q31" s="7"/>
      <c r="R31" s="11"/>
      <c r="S31" s="11"/>
    </row>
    <row r="32" spans="2:19" x14ac:dyDescent="0.25">
      <c r="B32" s="2">
        <v>28</v>
      </c>
      <c r="C32" s="2">
        <v>1144</v>
      </c>
      <c r="D32" s="1" t="s">
        <v>80</v>
      </c>
      <c r="E32" s="9">
        <v>7</v>
      </c>
      <c r="F32" s="9">
        <v>6.7</v>
      </c>
      <c r="G32" s="7"/>
      <c r="H32" s="11"/>
      <c r="I32" s="9"/>
      <c r="J32" s="7"/>
      <c r="K32" s="7"/>
      <c r="L32" s="7"/>
      <c r="M32" s="11"/>
      <c r="N32" s="9"/>
      <c r="O32" s="7"/>
      <c r="P32" s="7"/>
      <c r="Q32" s="7"/>
      <c r="R32" s="11"/>
      <c r="S32" s="11"/>
    </row>
    <row r="33" spans="2:19" x14ac:dyDescent="0.25">
      <c r="B33" s="2">
        <v>29</v>
      </c>
      <c r="C33" s="2">
        <v>1137</v>
      </c>
      <c r="D33" s="1" t="s">
        <v>81</v>
      </c>
      <c r="E33" s="18">
        <v>0</v>
      </c>
      <c r="F33" s="18">
        <v>0</v>
      </c>
      <c r="G33" s="7"/>
      <c r="H33" s="11"/>
      <c r="I33" s="9"/>
      <c r="J33" s="7"/>
      <c r="K33" s="7"/>
      <c r="L33" s="7"/>
      <c r="M33" s="11"/>
      <c r="N33" s="9"/>
      <c r="O33" s="7"/>
      <c r="P33" s="7"/>
      <c r="Q33" s="7"/>
      <c r="R33" s="11"/>
      <c r="S33" s="11"/>
    </row>
    <row r="34" spans="2:19" x14ac:dyDescent="0.25">
      <c r="B34" s="2">
        <v>30</v>
      </c>
      <c r="C34" s="2">
        <v>1216</v>
      </c>
      <c r="D34" s="1" t="s">
        <v>82</v>
      </c>
      <c r="E34" s="9">
        <v>7</v>
      </c>
      <c r="F34" s="9">
        <v>10</v>
      </c>
      <c r="G34" s="7"/>
      <c r="H34" s="11"/>
      <c r="I34" s="9"/>
      <c r="J34" s="7"/>
      <c r="K34" s="7"/>
      <c r="L34" s="7"/>
      <c r="M34" s="11"/>
      <c r="N34" s="9"/>
      <c r="O34" s="7"/>
      <c r="P34" s="7"/>
      <c r="Q34" s="7"/>
      <c r="R34" s="11"/>
      <c r="S34" s="11"/>
    </row>
    <row r="35" spans="2:19" x14ac:dyDescent="0.25">
      <c r="B35" s="2">
        <v>31</v>
      </c>
      <c r="C35" s="2">
        <v>1254</v>
      </c>
      <c r="D35" s="1" t="s">
        <v>83</v>
      </c>
      <c r="E35" s="9">
        <v>8</v>
      </c>
      <c r="F35" s="9">
        <v>8</v>
      </c>
      <c r="G35" s="7"/>
      <c r="H35" s="11"/>
      <c r="I35" s="9"/>
      <c r="J35" s="7"/>
      <c r="K35" s="7"/>
      <c r="L35" s="7"/>
      <c r="M35" s="11"/>
      <c r="N35" s="9"/>
      <c r="O35" s="7"/>
      <c r="P35" s="7"/>
      <c r="Q35" s="7"/>
      <c r="R35" s="11"/>
      <c r="S35" s="11"/>
    </row>
    <row r="36" spans="2:19" x14ac:dyDescent="0.25">
      <c r="B36" s="8" t="s">
        <v>14</v>
      </c>
      <c r="C36" s="8"/>
      <c r="D36" s="8"/>
      <c r="E36" s="16">
        <f>AVERAGE(E5:E35)</f>
        <v>5.064516129032258</v>
      </c>
      <c r="F36" s="16">
        <f>AVERAGE(F5:F35)</f>
        <v>6.7258064516129021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</row>
    <row r="38" spans="2:19" ht="30" customHeight="1" x14ac:dyDescent="0.25">
      <c r="B38" s="21" t="s">
        <v>29</v>
      </c>
      <c r="C38" s="21"/>
      <c r="D38" s="21"/>
      <c r="E38" s="20" t="s">
        <v>38</v>
      </c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</row>
  </sheetData>
  <mergeCells count="5">
    <mergeCell ref="B2:D2"/>
    <mergeCell ref="E2:S2"/>
    <mergeCell ref="B36:D36"/>
    <mergeCell ref="B38:D38"/>
    <mergeCell ref="E38:S38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4BBEE-70DB-4681-AF60-212A1894D486}">
  <dimension ref="B2:S31"/>
  <sheetViews>
    <sheetView zoomScale="85" zoomScaleNormal="85" workbookViewId="0">
      <selection activeCell="J20" sqref="J20"/>
    </sheetView>
  </sheetViews>
  <sheetFormatPr defaultRowHeight="15" x14ac:dyDescent="0.25"/>
  <cols>
    <col min="3" max="3" width="12.5703125" bestFit="1" customWidth="1"/>
    <col min="4" max="4" width="34.85546875" bestFit="1" customWidth="1"/>
    <col min="5" max="6" width="9.28515625" bestFit="1" customWidth="1"/>
    <col min="7" max="7" width="7.5703125" bestFit="1" customWidth="1"/>
  </cols>
  <sheetData>
    <row r="2" spans="2:19" x14ac:dyDescent="0.25">
      <c r="B2" s="6" t="s">
        <v>110</v>
      </c>
      <c r="C2" s="6"/>
      <c r="D2" s="6"/>
      <c r="E2" s="6" t="s">
        <v>85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2:19" x14ac:dyDescent="0.25">
      <c r="B3" s="3"/>
      <c r="C3" s="3"/>
      <c r="D3" s="4" t="s">
        <v>18</v>
      </c>
      <c r="E3" s="5" t="s">
        <v>15</v>
      </c>
      <c r="F3" s="5" t="s">
        <v>16</v>
      </c>
      <c r="G3" s="5" t="s">
        <v>17</v>
      </c>
      <c r="H3" s="5" t="s">
        <v>14</v>
      </c>
      <c r="I3" s="5" t="s">
        <v>19</v>
      </c>
      <c r="J3" s="5" t="s">
        <v>21</v>
      </c>
      <c r="K3" s="5" t="s">
        <v>22</v>
      </c>
      <c r="L3" s="5" t="s">
        <v>23</v>
      </c>
      <c r="M3" s="5" t="s">
        <v>14</v>
      </c>
      <c r="N3" s="5" t="s">
        <v>25</v>
      </c>
      <c r="O3" s="5" t="s">
        <v>26</v>
      </c>
      <c r="P3" s="5" t="s">
        <v>27</v>
      </c>
      <c r="Q3" s="5" t="s">
        <v>28</v>
      </c>
      <c r="R3" s="5" t="s">
        <v>14</v>
      </c>
      <c r="S3" s="5" t="s">
        <v>20</v>
      </c>
    </row>
    <row r="4" spans="2:19" x14ac:dyDescent="0.25">
      <c r="B4" s="12" t="s">
        <v>0</v>
      </c>
      <c r="C4" s="12" t="s">
        <v>1</v>
      </c>
      <c r="D4" s="13" t="s">
        <v>2</v>
      </c>
      <c r="E4" s="14"/>
      <c r="F4" s="14"/>
      <c r="G4" s="14"/>
      <c r="H4" s="3"/>
      <c r="I4" s="14"/>
      <c r="J4" s="14"/>
      <c r="K4" s="14"/>
      <c r="L4" s="14"/>
      <c r="M4" s="3"/>
      <c r="N4" s="14"/>
      <c r="O4" s="14"/>
      <c r="P4" s="14"/>
      <c r="Q4" s="14"/>
      <c r="R4" s="14"/>
      <c r="S4" s="14"/>
    </row>
    <row r="5" spans="2:19" x14ac:dyDescent="0.25">
      <c r="B5" s="2">
        <v>1</v>
      </c>
      <c r="C5" s="2">
        <v>1045</v>
      </c>
      <c r="D5" t="s">
        <v>86</v>
      </c>
      <c r="E5" s="9">
        <v>9</v>
      </c>
      <c r="F5" s="9">
        <v>8</v>
      </c>
      <c r="G5" s="7"/>
      <c r="H5" s="11"/>
      <c r="I5" s="9"/>
      <c r="J5" s="7"/>
      <c r="K5" s="7"/>
      <c r="L5" s="7"/>
      <c r="M5" s="11"/>
      <c r="N5" s="9"/>
      <c r="O5" s="7"/>
      <c r="P5" s="7"/>
      <c r="Q5" s="7"/>
      <c r="R5" s="11"/>
      <c r="S5" s="11"/>
    </row>
    <row r="6" spans="2:19" x14ac:dyDescent="0.25">
      <c r="B6" s="2">
        <v>2</v>
      </c>
      <c r="C6" s="2">
        <v>1060</v>
      </c>
      <c r="D6" s="1" t="s">
        <v>87</v>
      </c>
      <c r="E6" s="9">
        <v>7</v>
      </c>
      <c r="F6" s="9">
        <v>8</v>
      </c>
      <c r="G6" s="7"/>
      <c r="H6" s="11"/>
      <c r="I6" s="9"/>
      <c r="J6" s="7"/>
      <c r="K6" s="7"/>
      <c r="L6" s="7"/>
      <c r="M6" s="11"/>
      <c r="N6" s="9"/>
      <c r="O6" s="7"/>
      <c r="P6" s="7"/>
      <c r="Q6" s="7"/>
      <c r="R6" s="11"/>
      <c r="S6" s="11"/>
    </row>
    <row r="7" spans="2:19" x14ac:dyDescent="0.25">
      <c r="B7" s="2">
        <v>3</v>
      </c>
      <c r="C7" s="2">
        <v>1108</v>
      </c>
      <c r="D7" s="1" t="s">
        <v>88</v>
      </c>
      <c r="E7" s="9">
        <v>8</v>
      </c>
      <c r="F7" s="9">
        <v>10</v>
      </c>
      <c r="G7" s="7"/>
      <c r="H7" s="11"/>
      <c r="I7" s="9"/>
      <c r="J7" s="7"/>
      <c r="K7" s="7"/>
      <c r="L7" s="7"/>
      <c r="M7" s="11"/>
      <c r="N7" s="9"/>
      <c r="O7" s="7"/>
      <c r="P7" s="7"/>
      <c r="Q7" s="7"/>
      <c r="R7" s="11"/>
      <c r="S7" s="11"/>
    </row>
    <row r="8" spans="2:19" x14ac:dyDescent="0.25">
      <c r="B8" s="2">
        <v>4</v>
      </c>
      <c r="C8" s="2">
        <v>876</v>
      </c>
      <c r="D8" s="1" t="s">
        <v>89</v>
      </c>
      <c r="E8" s="9">
        <v>10</v>
      </c>
      <c r="F8" s="9">
        <v>8.6999999999999993</v>
      </c>
      <c r="G8" s="7"/>
      <c r="H8" s="11"/>
      <c r="I8" s="9"/>
      <c r="J8" s="7"/>
      <c r="K8" s="7"/>
      <c r="L8" s="7"/>
      <c r="M8" s="11"/>
      <c r="N8" s="9"/>
      <c r="O8" s="7"/>
      <c r="P8" s="7"/>
      <c r="Q8" s="7"/>
      <c r="R8" s="11"/>
      <c r="S8" s="11"/>
    </row>
    <row r="9" spans="2:19" x14ac:dyDescent="0.25">
      <c r="B9" s="2">
        <v>5</v>
      </c>
      <c r="C9" s="2">
        <v>639</v>
      </c>
      <c r="D9" s="1" t="s">
        <v>90</v>
      </c>
      <c r="E9" s="9">
        <v>10</v>
      </c>
      <c r="F9" s="9">
        <v>10</v>
      </c>
      <c r="G9" s="7"/>
      <c r="H9" s="11"/>
      <c r="I9" s="9"/>
      <c r="J9" s="7"/>
      <c r="K9" s="7"/>
      <c r="L9" s="7"/>
      <c r="M9" s="11"/>
      <c r="N9" s="9"/>
      <c r="O9" s="7"/>
      <c r="P9" s="7"/>
      <c r="Q9" s="7"/>
      <c r="R9" s="11"/>
      <c r="S9" s="11"/>
    </row>
    <row r="10" spans="2:19" x14ac:dyDescent="0.25">
      <c r="B10" s="2">
        <v>6</v>
      </c>
      <c r="C10" s="2">
        <v>1224</v>
      </c>
      <c r="D10" s="1" t="s">
        <v>91</v>
      </c>
      <c r="E10" s="9">
        <v>8</v>
      </c>
      <c r="F10" s="9">
        <v>4.7</v>
      </c>
      <c r="G10" s="7"/>
      <c r="H10" s="11"/>
      <c r="I10" s="9"/>
      <c r="J10" s="7"/>
      <c r="K10" s="7"/>
      <c r="L10" s="7"/>
      <c r="M10" s="11"/>
      <c r="N10" s="9"/>
      <c r="O10" s="7"/>
      <c r="P10" s="7"/>
      <c r="Q10" s="7"/>
      <c r="R10" s="11"/>
      <c r="S10" s="11"/>
    </row>
    <row r="11" spans="2:19" x14ac:dyDescent="0.25">
      <c r="B11" s="2">
        <v>7</v>
      </c>
      <c r="C11" s="2">
        <v>1069</v>
      </c>
      <c r="D11" s="1" t="s">
        <v>92</v>
      </c>
      <c r="E11" s="9">
        <v>9</v>
      </c>
      <c r="F11" s="9">
        <v>10</v>
      </c>
      <c r="G11" s="7"/>
      <c r="H11" s="11"/>
      <c r="I11" s="9"/>
      <c r="J11" s="7"/>
      <c r="K11" s="7"/>
      <c r="L11" s="7"/>
      <c r="M11" s="11"/>
      <c r="N11" s="9"/>
      <c r="O11" s="7"/>
      <c r="P11" s="7"/>
      <c r="Q11" s="7"/>
      <c r="R11" s="11"/>
      <c r="S11" s="11"/>
    </row>
    <row r="12" spans="2:19" x14ac:dyDescent="0.25">
      <c r="B12" s="2">
        <v>8</v>
      </c>
      <c r="C12" s="2">
        <v>1003</v>
      </c>
      <c r="D12" s="1" t="s">
        <v>93</v>
      </c>
      <c r="E12" s="9">
        <v>10</v>
      </c>
      <c r="F12" s="9">
        <v>6</v>
      </c>
      <c r="G12" s="7"/>
      <c r="H12" s="11"/>
      <c r="I12" s="9"/>
      <c r="J12" s="7"/>
      <c r="K12" s="7"/>
      <c r="L12" s="7"/>
      <c r="M12" s="11"/>
      <c r="N12" s="9"/>
      <c r="O12" s="7"/>
      <c r="P12" s="7"/>
      <c r="Q12" s="7"/>
      <c r="R12" s="11"/>
      <c r="S12" s="11"/>
    </row>
    <row r="13" spans="2:19" x14ac:dyDescent="0.25">
      <c r="B13" s="2">
        <v>9</v>
      </c>
      <c r="C13" s="2">
        <v>698</v>
      </c>
      <c r="D13" s="1" t="s">
        <v>94</v>
      </c>
      <c r="E13" s="9">
        <v>9</v>
      </c>
      <c r="F13" s="18">
        <v>0</v>
      </c>
      <c r="G13" s="7"/>
      <c r="H13" s="11"/>
      <c r="I13" s="9"/>
      <c r="J13" s="7"/>
      <c r="K13" s="7"/>
      <c r="L13" s="7"/>
      <c r="M13" s="11"/>
      <c r="N13" s="9"/>
      <c r="O13" s="7"/>
      <c r="P13" s="7"/>
      <c r="Q13" s="7"/>
      <c r="R13" s="11"/>
      <c r="S13" s="11"/>
    </row>
    <row r="14" spans="2:19" x14ac:dyDescent="0.25">
      <c r="B14" s="2">
        <v>10</v>
      </c>
      <c r="C14" s="2">
        <v>1004</v>
      </c>
      <c r="D14" s="1" t="s">
        <v>95</v>
      </c>
      <c r="E14" s="9">
        <v>8</v>
      </c>
      <c r="F14" s="9">
        <v>8</v>
      </c>
      <c r="G14" s="7"/>
      <c r="H14" s="11"/>
      <c r="I14" s="9"/>
      <c r="J14" s="7"/>
      <c r="K14" s="7"/>
      <c r="L14" s="7"/>
      <c r="M14" s="11"/>
      <c r="N14" s="9"/>
      <c r="O14" s="7"/>
      <c r="P14" s="7"/>
      <c r="Q14" s="7"/>
      <c r="R14" s="11"/>
      <c r="S14" s="11"/>
    </row>
    <row r="15" spans="2:19" x14ac:dyDescent="0.25">
      <c r="B15" s="2">
        <v>11</v>
      </c>
      <c r="C15" s="2">
        <v>1214</v>
      </c>
      <c r="D15" s="1" t="s">
        <v>96</v>
      </c>
      <c r="E15" s="9">
        <v>7</v>
      </c>
      <c r="F15" s="9">
        <v>6.7</v>
      </c>
      <c r="G15" s="7"/>
      <c r="H15" s="11"/>
      <c r="I15" s="9"/>
      <c r="J15" s="7"/>
      <c r="K15" s="7"/>
      <c r="L15" s="7"/>
      <c r="M15" s="11"/>
      <c r="N15" s="9"/>
      <c r="O15" s="7"/>
      <c r="P15" s="7"/>
      <c r="Q15" s="7"/>
      <c r="R15" s="11"/>
      <c r="S15" s="11"/>
    </row>
    <row r="16" spans="2:19" x14ac:dyDescent="0.25">
      <c r="B16" s="2">
        <v>12</v>
      </c>
      <c r="C16" s="2">
        <v>1083</v>
      </c>
      <c r="D16" s="1" t="s">
        <v>97</v>
      </c>
      <c r="E16" s="9">
        <v>9</v>
      </c>
      <c r="F16" s="9">
        <v>9.6999999999999993</v>
      </c>
      <c r="G16" s="7"/>
      <c r="H16" s="11"/>
      <c r="I16" s="9"/>
      <c r="J16" s="7"/>
      <c r="K16" s="7"/>
      <c r="L16" s="7"/>
      <c r="M16" s="11"/>
      <c r="N16" s="9"/>
      <c r="O16" s="7"/>
      <c r="P16" s="7"/>
      <c r="Q16" s="7"/>
      <c r="R16" s="11"/>
      <c r="S16" s="11"/>
    </row>
    <row r="17" spans="2:19" x14ac:dyDescent="0.25">
      <c r="B17" s="2">
        <v>13</v>
      </c>
      <c r="C17" s="2">
        <v>1006</v>
      </c>
      <c r="D17" s="1" t="s">
        <v>98</v>
      </c>
      <c r="E17" s="9">
        <v>4</v>
      </c>
      <c r="F17" s="9">
        <v>9.3000000000000007</v>
      </c>
      <c r="G17" s="7"/>
      <c r="H17" s="11"/>
      <c r="I17" s="9"/>
      <c r="J17" s="7"/>
      <c r="K17" s="7"/>
      <c r="L17" s="7"/>
      <c r="M17" s="11"/>
      <c r="N17" s="9"/>
      <c r="O17" s="7"/>
      <c r="P17" s="7"/>
      <c r="Q17" s="7"/>
      <c r="R17" s="11"/>
      <c r="S17" s="11"/>
    </row>
    <row r="18" spans="2:19" x14ac:dyDescent="0.25">
      <c r="B18" s="2">
        <v>14</v>
      </c>
      <c r="C18" s="2">
        <v>991</v>
      </c>
      <c r="D18" s="1" t="s">
        <v>99</v>
      </c>
      <c r="E18" s="9">
        <v>5</v>
      </c>
      <c r="F18" s="9">
        <v>8.6999999999999993</v>
      </c>
      <c r="G18" s="7"/>
      <c r="H18" s="11"/>
      <c r="I18" s="9"/>
      <c r="J18" s="7"/>
      <c r="K18" s="7"/>
      <c r="L18" s="7"/>
      <c r="M18" s="11"/>
      <c r="N18" s="9"/>
      <c r="O18" s="7"/>
      <c r="P18" s="7"/>
      <c r="Q18" s="7"/>
      <c r="R18" s="11"/>
      <c r="S18" s="11"/>
    </row>
    <row r="19" spans="2:19" x14ac:dyDescent="0.25">
      <c r="B19" s="2">
        <v>15</v>
      </c>
      <c r="C19" s="2">
        <v>1006</v>
      </c>
      <c r="D19" s="1" t="s">
        <v>100</v>
      </c>
      <c r="E19" s="9">
        <v>7</v>
      </c>
      <c r="F19" s="9">
        <v>10</v>
      </c>
      <c r="G19" s="7"/>
      <c r="H19" s="11"/>
      <c r="I19" s="9"/>
      <c r="J19" s="7"/>
      <c r="K19" s="7"/>
      <c r="L19" s="7"/>
      <c r="M19" s="11"/>
      <c r="N19" s="9"/>
      <c r="O19" s="7"/>
      <c r="P19" s="7"/>
      <c r="Q19" s="7"/>
      <c r="R19" s="11"/>
      <c r="S19" s="11"/>
    </row>
    <row r="20" spans="2:19" x14ac:dyDescent="0.25">
      <c r="B20" s="2">
        <v>16</v>
      </c>
      <c r="C20" s="2">
        <v>1035</v>
      </c>
      <c r="D20" s="1" t="s">
        <v>101</v>
      </c>
      <c r="E20" s="9">
        <v>6</v>
      </c>
      <c r="F20" s="9">
        <v>8</v>
      </c>
      <c r="G20" s="7"/>
      <c r="H20" s="11"/>
      <c r="I20" s="9"/>
      <c r="J20" s="7"/>
      <c r="K20" s="7"/>
      <c r="L20" s="7"/>
      <c r="M20" s="11"/>
      <c r="N20" s="9"/>
      <c r="O20" s="7"/>
      <c r="P20" s="7"/>
      <c r="Q20" s="7"/>
      <c r="R20" s="11"/>
      <c r="S20" s="11"/>
    </row>
    <row r="21" spans="2:19" x14ac:dyDescent="0.25">
      <c r="B21" s="2">
        <v>17</v>
      </c>
      <c r="C21" s="2">
        <v>1088</v>
      </c>
      <c r="D21" s="1" t="s">
        <v>102</v>
      </c>
      <c r="E21" s="9">
        <v>9</v>
      </c>
      <c r="F21" s="9">
        <v>10</v>
      </c>
      <c r="G21" s="7"/>
      <c r="H21" s="11"/>
      <c r="I21" s="9"/>
      <c r="J21" s="7"/>
      <c r="K21" s="7"/>
      <c r="L21" s="7"/>
      <c r="M21" s="11"/>
      <c r="N21" s="9"/>
      <c r="O21" s="7"/>
      <c r="P21" s="7"/>
      <c r="Q21" s="7"/>
      <c r="R21" s="11"/>
      <c r="S21" s="11"/>
    </row>
    <row r="22" spans="2:19" x14ac:dyDescent="0.25">
      <c r="B22" s="2">
        <v>18</v>
      </c>
      <c r="C22" s="2">
        <v>1016</v>
      </c>
      <c r="D22" s="1" t="s">
        <v>103</v>
      </c>
      <c r="E22" s="18">
        <v>0</v>
      </c>
      <c r="F22" s="18">
        <v>0</v>
      </c>
      <c r="G22" s="7"/>
      <c r="H22" s="11"/>
      <c r="I22" s="9"/>
      <c r="J22" s="7"/>
      <c r="K22" s="7"/>
      <c r="L22" s="7"/>
      <c r="M22" s="11"/>
      <c r="N22" s="9"/>
      <c r="O22" s="7"/>
      <c r="P22" s="7"/>
      <c r="Q22" s="7"/>
      <c r="R22" s="11"/>
      <c r="S22" s="11"/>
    </row>
    <row r="23" spans="2:19" x14ac:dyDescent="0.25">
      <c r="B23" s="2">
        <v>19</v>
      </c>
      <c r="C23" s="2">
        <v>1062</v>
      </c>
      <c r="D23" s="1" t="s">
        <v>104</v>
      </c>
      <c r="E23" s="9">
        <v>8</v>
      </c>
      <c r="F23" s="9">
        <v>9.3000000000000007</v>
      </c>
      <c r="G23" s="7"/>
      <c r="H23" s="11"/>
      <c r="I23" s="9"/>
      <c r="J23" s="7"/>
      <c r="K23" s="7"/>
      <c r="L23" s="7"/>
      <c r="M23" s="11"/>
      <c r="N23" s="9"/>
      <c r="O23" s="7"/>
      <c r="P23" s="7"/>
      <c r="Q23" s="7"/>
      <c r="R23" s="11"/>
      <c r="S23" s="11"/>
    </row>
    <row r="24" spans="2:19" x14ac:dyDescent="0.25">
      <c r="B24" s="2">
        <v>20</v>
      </c>
      <c r="C24" s="2">
        <v>1029</v>
      </c>
      <c r="D24" s="1" t="s">
        <v>105</v>
      </c>
      <c r="E24" s="9">
        <v>9</v>
      </c>
      <c r="F24" s="9">
        <v>8.6999999999999993</v>
      </c>
      <c r="G24" s="7"/>
      <c r="H24" s="11"/>
      <c r="I24" s="9"/>
      <c r="J24" s="7"/>
      <c r="K24" s="7"/>
      <c r="L24" s="7"/>
      <c r="M24" s="11"/>
      <c r="N24" s="9"/>
      <c r="O24" s="7"/>
      <c r="P24" s="7"/>
      <c r="Q24" s="7"/>
      <c r="R24" s="11"/>
      <c r="S24" s="11"/>
    </row>
    <row r="25" spans="2:19" x14ac:dyDescent="0.25">
      <c r="B25" s="2">
        <v>21</v>
      </c>
      <c r="C25" s="2">
        <v>994</v>
      </c>
      <c r="D25" s="1" t="s">
        <v>106</v>
      </c>
      <c r="E25" s="9">
        <v>8</v>
      </c>
      <c r="F25" s="9">
        <v>5.3</v>
      </c>
      <c r="G25" s="7"/>
      <c r="H25" s="11"/>
      <c r="I25" s="9"/>
      <c r="J25" s="7"/>
      <c r="K25" s="7"/>
      <c r="L25" s="7"/>
      <c r="M25" s="11"/>
      <c r="N25" s="9"/>
      <c r="O25" s="7"/>
      <c r="P25" s="7"/>
      <c r="Q25" s="7"/>
      <c r="R25" s="11"/>
      <c r="S25" s="11"/>
    </row>
    <row r="26" spans="2:19" x14ac:dyDescent="0.25">
      <c r="B26" s="2">
        <v>22</v>
      </c>
      <c r="C26" s="2">
        <v>799</v>
      </c>
      <c r="D26" s="1" t="s">
        <v>107</v>
      </c>
      <c r="E26" s="9">
        <v>9</v>
      </c>
      <c r="F26" s="9">
        <v>9.3000000000000007</v>
      </c>
      <c r="G26" s="7"/>
      <c r="H26" s="11"/>
      <c r="I26" s="9"/>
      <c r="J26" s="7"/>
      <c r="K26" s="7"/>
      <c r="L26" s="7"/>
      <c r="M26" s="11"/>
      <c r="N26" s="9"/>
      <c r="O26" s="7"/>
      <c r="P26" s="7"/>
      <c r="Q26" s="7"/>
      <c r="R26" s="11"/>
      <c r="S26" s="11"/>
    </row>
    <row r="27" spans="2:19" x14ac:dyDescent="0.25">
      <c r="B27" s="2">
        <v>23</v>
      </c>
      <c r="C27" s="2">
        <v>1091</v>
      </c>
      <c r="D27" s="1" t="s">
        <v>108</v>
      </c>
      <c r="E27" s="18">
        <v>0</v>
      </c>
      <c r="F27" s="9">
        <v>3.3</v>
      </c>
      <c r="G27" s="7"/>
      <c r="H27" s="11"/>
      <c r="I27" s="9"/>
      <c r="J27" s="7"/>
      <c r="K27" s="7"/>
      <c r="L27" s="7"/>
      <c r="M27" s="11"/>
      <c r="N27" s="9"/>
      <c r="O27" s="7"/>
      <c r="P27" s="7"/>
      <c r="Q27" s="7"/>
      <c r="R27" s="11"/>
      <c r="S27" s="11"/>
    </row>
    <row r="28" spans="2:19" x14ac:dyDescent="0.25">
      <c r="B28" s="2">
        <v>24</v>
      </c>
      <c r="C28" s="2">
        <v>1221</v>
      </c>
      <c r="D28" s="1" t="s">
        <v>109</v>
      </c>
      <c r="E28" s="9">
        <v>10</v>
      </c>
      <c r="F28" s="9">
        <v>6.7</v>
      </c>
      <c r="G28" s="7"/>
      <c r="H28" s="11"/>
      <c r="I28" s="9"/>
      <c r="J28" s="7"/>
      <c r="K28" s="7"/>
      <c r="L28" s="7"/>
      <c r="M28" s="11"/>
      <c r="N28" s="9"/>
      <c r="O28" s="7"/>
      <c r="P28" s="7"/>
      <c r="Q28" s="7"/>
      <c r="R28" s="11"/>
      <c r="S28" s="11"/>
    </row>
    <row r="29" spans="2:19" x14ac:dyDescent="0.25">
      <c r="B29" s="8" t="s">
        <v>14</v>
      </c>
      <c r="C29" s="8"/>
      <c r="D29" s="8"/>
      <c r="E29" s="15">
        <f>AVERAGE(E5:E28)</f>
        <v>7.458333333333333</v>
      </c>
      <c r="F29" s="15">
        <f>AVERAGE(F5:F28)</f>
        <v>7.4333333333333345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</row>
    <row r="31" spans="2:19" ht="30" customHeight="1" x14ac:dyDescent="0.25">
      <c r="B31" s="21" t="s">
        <v>29</v>
      </c>
      <c r="C31" s="21"/>
      <c r="D31" s="21"/>
      <c r="E31" s="20" t="s">
        <v>38</v>
      </c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</row>
  </sheetData>
  <mergeCells count="5">
    <mergeCell ref="B2:D2"/>
    <mergeCell ref="E2:S2"/>
    <mergeCell ref="B29:D29"/>
    <mergeCell ref="B31:D31"/>
    <mergeCell ref="E31:S3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98403-11C8-4886-B2B5-1F5F08A5CD5B}">
  <dimension ref="B2:S14"/>
  <sheetViews>
    <sheetView tabSelected="1" zoomScale="85" zoomScaleNormal="85" workbookViewId="0">
      <selection activeCell="E5" sqref="E5"/>
    </sheetView>
  </sheetViews>
  <sheetFormatPr defaultRowHeight="15" x14ac:dyDescent="0.25"/>
  <cols>
    <col min="3" max="3" width="12.5703125" bestFit="1" customWidth="1"/>
    <col min="4" max="4" width="34.85546875" bestFit="1" customWidth="1"/>
    <col min="5" max="6" width="9.28515625" bestFit="1" customWidth="1"/>
    <col min="7" max="7" width="7.5703125" bestFit="1" customWidth="1"/>
  </cols>
  <sheetData>
    <row r="2" spans="2:19" x14ac:dyDescent="0.25">
      <c r="B2" s="6" t="s">
        <v>118</v>
      </c>
      <c r="C2" s="6"/>
      <c r="D2" s="6"/>
      <c r="E2" s="6" t="s">
        <v>85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2:19" x14ac:dyDescent="0.25">
      <c r="B3" s="3"/>
      <c r="C3" s="3"/>
      <c r="D3" s="4" t="s">
        <v>18</v>
      </c>
      <c r="E3" s="5" t="s">
        <v>15</v>
      </c>
      <c r="F3" s="5" t="s">
        <v>16</v>
      </c>
      <c r="G3" s="5" t="s">
        <v>17</v>
      </c>
      <c r="H3" s="5" t="s">
        <v>14</v>
      </c>
      <c r="I3" s="5" t="s">
        <v>19</v>
      </c>
      <c r="J3" s="5" t="s">
        <v>21</v>
      </c>
      <c r="K3" s="5" t="s">
        <v>22</v>
      </c>
      <c r="L3" s="5" t="s">
        <v>23</v>
      </c>
      <c r="M3" s="5" t="s">
        <v>14</v>
      </c>
      <c r="N3" s="5" t="s">
        <v>25</v>
      </c>
      <c r="O3" s="5" t="s">
        <v>26</v>
      </c>
      <c r="P3" s="5" t="s">
        <v>27</v>
      </c>
      <c r="Q3" s="5" t="s">
        <v>28</v>
      </c>
      <c r="R3" s="5" t="s">
        <v>14</v>
      </c>
      <c r="S3" s="5" t="s">
        <v>20</v>
      </c>
    </row>
    <row r="4" spans="2:19" x14ac:dyDescent="0.25">
      <c r="B4" s="12" t="s">
        <v>0</v>
      </c>
      <c r="C4" s="12" t="s">
        <v>1</v>
      </c>
      <c r="D4" s="13" t="s">
        <v>2</v>
      </c>
      <c r="E4" s="14"/>
      <c r="F4" s="14"/>
      <c r="G4" s="14"/>
      <c r="H4" s="3"/>
      <c r="I4" s="14"/>
      <c r="J4" s="14"/>
      <c r="K4" s="14"/>
      <c r="L4" s="14"/>
      <c r="M4" s="3"/>
      <c r="N4" s="14"/>
      <c r="O4" s="14"/>
      <c r="P4" s="14"/>
      <c r="Q4" s="14"/>
      <c r="R4" s="14"/>
      <c r="S4" s="14"/>
    </row>
    <row r="5" spans="2:19" x14ac:dyDescent="0.25">
      <c r="B5" s="2">
        <v>1</v>
      </c>
      <c r="C5" s="2">
        <v>1045</v>
      </c>
      <c r="D5" t="s">
        <v>111</v>
      </c>
      <c r="E5" s="18">
        <v>0</v>
      </c>
      <c r="F5" s="9">
        <v>10</v>
      </c>
      <c r="G5" s="7"/>
      <c r="H5" s="11"/>
      <c r="I5" s="9"/>
      <c r="J5" s="7"/>
      <c r="K5" s="7"/>
      <c r="L5" s="7"/>
      <c r="M5" s="11"/>
      <c r="N5" s="9"/>
      <c r="O5" s="7"/>
      <c r="P5" s="7"/>
      <c r="Q5" s="7"/>
      <c r="R5" s="11"/>
      <c r="S5" s="11"/>
    </row>
    <row r="6" spans="2:19" x14ac:dyDescent="0.25">
      <c r="B6" s="2">
        <v>2</v>
      </c>
      <c r="C6" s="2">
        <v>1060</v>
      </c>
      <c r="D6" s="1" t="s">
        <v>112</v>
      </c>
      <c r="E6" s="9">
        <v>6</v>
      </c>
      <c r="F6" s="9">
        <v>9.3000000000000007</v>
      </c>
      <c r="G6" s="7"/>
      <c r="H6" s="11"/>
      <c r="I6" s="9"/>
      <c r="J6" s="7"/>
      <c r="K6" s="7"/>
      <c r="L6" s="7"/>
      <c r="M6" s="11"/>
      <c r="N6" s="9"/>
      <c r="O6" s="7"/>
      <c r="P6" s="7"/>
      <c r="Q6" s="7"/>
      <c r="R6" s="11"/>
      <c r="S6" s="11"/>
    </row>
    <row r="7" spans="2:19" x14ac:dyDescent="0.25">
      <c r="B7" s="2">
        <v>3</v>
      </c>
      <c r="C7" s="2">
        <v>1108</v>
      </c>
      <c r="D7" s="1" t="s">
        <v>113</v>
      </c>
      <c r="E7" s="9">
        <v>7</v>
      </c>
      <c r="F7" s="9">
        <v>10</v>
      </c>
      <c r="G7" s="7"/>
      <c r="H7" s="11"/>
      <c r="I7" s="9"/>
      <c r="J7" s="7"/>
      <c r="K7" s="7"/>
      <c r="L7" s="7"/>
      <c r="M7" s="11"/>
      <c r="N7" s="9"/>
      <c r="O7" s="7"/>
      <c r="P7" s="7"/>
      <c r="Q7" s="7"/>
      <c r="R7" s="11"/>
      <c r="S7" s="11"/>
    </row>
    <row r="8" spans="2:19" x14ac:dyDescent="0.25">
      <c r="B8" s="2">
        <v>4</v>
      </c>
      <c r="C8" s="2">
        <v>876</v>
      </c>
      <c r="D8" s="1" t="s">
        <v>114</v>
      </c>
      <c r="E8" s="9">
        <v>6</v>
      </c>
      <c r="F8" s="9">
        <v>10</v>
      </c>
      <c r="G8" s="7"/>
      <c r="H8" s="11"/>
      <c r="I8" s="9"/>
      <c r="J8" s="7"/>
      <c r="K8" s="7"/>
      <c r="L8" s="7"/>
      <c r="M8" s="11"/>
      <c r="N8" s="9"/>
      <c r="O8" s="7"/>
      <c r="P8" s="7"/>
      <c r="Q8" s="7"/>
      <c r="R8" s="11"/>
      <c r="S8" s="11"/>
    </row>
    <row r="9" spans="2:19" x14ac:dyDescent="0.25">
      <c r="B9" s="2">
        <v>5</v>
      </c>
      <c r="C9" s="2">
        <v>639</v>
      </c>
      <c r="D9" s="1" t="s">
        <v>115</v>
      </c>
      <c r="E9" s="9">
        <v>8</v>
      </c>
      <c r="F9" s="9">
        <v>9.3000000000000007</v>
      </c>
      <c r="G9" s="7"/>
      <c r="H9" s="11"/>
      <c r="I9" s="9"/>
      <c r="J9" s="7"/>
      <c r="K9" s="7"/>
      <c r="L9" s="7"/>
      <c r="M9" s="11"/>
      <c r="N9" s="9"/>
      <c r="O9" s="7"/>
      <c r="P9" s="7"/>
      <c r="Q9" s="7"/>
      <c r="R9" s="11"/>
      <c r="S9" s="11"/>
    </row>
    <row r="10" spans="2:19" x14ac:dyDescent="0.25">
      <c r="B10" s="2">
        <v>6</v>
      </c>
      <c r="C10" s="2">
        <v>1224</v>
      </c>
      <c r="D10" s="1" t="s">
        <v>116</v>
      </c>
      <c r="E10" s="9">
        <v>8</v>
      </c>
      <c r="F10" s="9">
        <v>8</v>
      </c>
      <c r="G10" s="7"/>
      <c r="H10" s="11"/>
      <c r="I10" s="9"/>
      <c r="J10" s="7"/>
      <c r="K10" s="7"/>
      <c r="L10" s="7"/>
      <c r="M10" s="11"/>
      <c r="N10" s="9"/>
      <c r="O10" s="7"/>
      <c r="P10" s="7"/>
      <c r="Q10" s="7"/>
      <c r="R10" s="11"/>
      <c r="S10" s="11"/>
    </row>
    <row r="11" spans="2:19" x14ac:dyDescent="0.25">
      <c r="B11" s="2">
        <v>7</v>
      </c>
      <c r="C11" s="2">
        <v>1069</v>
      </c>
      <c r="D11" s="1" t="s">
        <v>117</v>
      </c>
      <c r="E11" s="9">
        <v>5</v>
      </c>
      <c r="F11" s="9">
        <v>8.6999999999999993</v>
      </c>
      <c r="G11" s="7"/>
      <c r="H11" s="11"/>
      <c r="I11" s="9"/>
      <c r="J11" s="7"/>
      <c r="K11" s="7"/>
      <c r="L11" s="7"/>
      <c r="M11" s="11"/>
      <c r="N11" s="9"/>
      <c r="O11" s="7"/>
      <c r="P11" s="7"/>
      <c r="Q11" s="7"/>
      <c r="R11" s="11"/>
      <c r="S11" s="11"/>
    </row>
    <row r="12" spans="2:19" x14ac:dyDescent="0.25">
      <c r="B12" s="8" t="s">
        <v>14</v>
      </c>
      <c r="C12" s="8"/>
      <c r="D12" s="8"/>
      <c r="E12" s="16">
        <f>AVERAGE(E5:E11)</f>
        <v>5.7142857142857144</v>
      </c>
      <c r="F12" s="19">
        <f>AVERAGE(F5:F11)</f>
        <v>9.3285714285714274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</row>
    <row r="14" spans="2:19" ht="30" customHeight="1" x14ac:dyDescent="0.25">
      <c r="B14" s="21" t="s">
        <v>29</v>
      </c>
      <c r="C14" s="21"/>
      <c r="D14" s="21"/>
      <c r="E14" s="20" t="s">
        <v>38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</row>
  </sheetData>
  <mergeCells count="5">
    <mergeCell ref="B2:D2"/>
    <mergeCell ref="E2:S2"/>
    <mergeCell ref="B12:D12"/>
    <mergeCell ref="B14:D14"/>
    <mergeCell ref="E14:S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N3 ENS</vt:lpstr>
      <vt:lpstr>N4 ENS</vt:lpstr>
      <vt:lpstr>N6 ENS</vt:lpstr>
      <vt:lpstr>N7 GEO</vt:lpstr>
      <vt:lpstr>N7 HIS</vt:lpstr>
      <vt:lpstr>N8 HIS</vt:lpstr>
      <vt:lpstr>N9 HIS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Guerra Santibanez Elisa (BGSW/EBS3.1-SX)</dc:creator>
  <cp:lastModifiedBy>Guerra Santibanez Elisa (BGSW/EBS3.1-SX)</cp:lastModifiedBy>
  <dcterms:created xsi:type="dcterms:W3CDTF">2025-11-01T17:31:50Z</dcterms:created>
  <dcterms:modified xsi:type="dcterms:W3CDTF">2025-11-01T20:59:03Z</dcterms:modified>
</cp:coreProperties>
</file>